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2026" sheetId="1" r:id="rId4"/>
    <sheet state="visible" name="Pomiary" sheetId="2" r:id="rId5"/>
    <sheet state="visible" name="Plan 2025" sheetId="3" r:id="rId6"/>
  </sheets>
  <definedNames/>
  <calcPr/>
  <extLst>
    <ext uri="GoogleSheetsCustomDataVersion2">
      <go:sheetsCustomData xmlns:go="http://customooxmlschemas.google.com/" r:id="rId7" roundtripDataChecksum="QG9Ihr7Vdt3SGRZmlx36isxvmXjE6itJQQwIJAHfgVY="/>
    </ext>
  </extLst>
</workbook>
</file>

<file path=xl/sharedStrings.xml><?xml version="1.0" encoding="utf-8"?>
<sst xmlns="http://schemas.openxmlformats.org/spreadsheetml/2006/main" count="647" uniqueCount="194">
  <si>
    <t>DATA</t>
  </si>
  <si>
    <t>Upper A</t>
  </si>
  <si>
    <t>PROGRESJA</t>
  </si>
  <si>
    <t>INFO</t>
  </si>
  <si>
    <t>Ćwiczenie</t>
  </si>
  <si>
    <t>Serie</t>
  </si>
  <si>
    <t>Repy</t>
  </si>
  <si>
    <t>1</t>
  </si>
  <si>
    <t>2</t>
  </si>
  <si>
    <t>3</t>
  </si>
  <si>
    <t>4</t>
  </si>
  <si>
    <t>5</t>
  </si>
  <si>
    <t>6</t>
  </si>
  <si>
    <t>7</t>
  </si>
  <si>
    <t>🟢 Progres</t>
  </si>
  <si>
    <t>Flat chest press</t>
  </si>
  <si>
    <t>8-10</t>
  </si>
  <si>
    <t>20 🟡</t>
  </si>
  <si>
    <t>20🟡</t>
  </si>
  <si>
    <t>M🔵 40 🟡</t>
  </si>
  <si>
    <t>D🔵 22.5 🟡</t>
  </si>
  <si>
    <t>X</t>
  </si>
  <si>
    <t>🟡 Git</t>
  </si>
  <si>
    <t>Wiosłowanie sztangą</t>
  </si>
  <si>
    <t>50 🔴 45🟣</t>
  </si>
  <si>
    <t>45🟡</t>
  </si>
  <si>
    <t>50 🟡</t>
  </si>
  <si>
    <t>🔴 Ciężko</t>
  </si>
  <si>
    <t>OHP Seated</t>
  </si>
  <si>
    <t>17.5 🟡</t>
  </si>
  <si>
    <t>17.5🟡</t>
  </si>
  <si>
    <t>M🔵 70 🟡</t>
  </si>
  <si>
    <t>70 🟡</t>
  </si>
  <si>
    <t>🟣 Idk</t>
  </si>
  <si>
    <t>Lat pulldown</t>
  </si>
  <si>
    <t>55 🟡</t>
  </si>
  <si>
    <t>55🟡</t>
  </si>
  <si>
    <t>60 🟡</t>
  </si>
  <si>
    <t>🔵 Inne</t>
  </si>
  <si>
    <t>Hammer chest</t>
  </si>
  <si>
    <t>50🟡</t>
  </si>
  <si>
    <t>Allachy</t>
  </si>
  <si>
    <t>SS Biceps+Triceps</t>
  </si>
  <si>
    <t>12.5🟡  | 25 🟡</t>
  </si>
  <si>
    <t>25🟡 | 30🟡</t>
  </si>
  <si>
    <t>25 🟡 | 30 🟡</t>
  </si>
  <si>
    <t>30 🟡 | 35 🟡</t>
  </si>
  <si>
    <t>30 🟡 | 40 🟡</t>
  </si>
  <si>
    <t>Lower A</t>
  </si>
  <si>
    <t>RDL</t>
  </si>
  <si>
    <t>70 🔴 65 🔴 60 🟡</t>
  </si>
  <si>
    <t>60🟡</t>
  </si>
  <si>
    <t>75 🟡</t>
  </si>
  <si>
    <t>100 🟡</t>
  </si>
  <si>
    <t>Hax squat</t>
  </si>
  <si>
    <t>65 🟡</t>
  </si>
  <si>
    <t>80 🟡</t>
  </si>
  <si>
    <t>Wyprosty siedząc na czwórki</t>
  </si>
  <si>
    <t>45 🟡</t>
  </si>
  <si>
    <t>Łydki stojąc</t>
  </si>
  <si>
    <t>12</t>
  </si>
  <si>
    <t>90 🟡</t>
  </si>
  <si>
    <t>90🟡</t>
  </si>
  <si>
    <t>Uginanie kolan do brzucha</t>
  </si>
  <si>
    <t>🟡</t>
  </si>
  <si>
    <t>Upper B</t>
  </si>
  <si>
    <t>Incline chest press</t>
  </si>
  <si>
    <t>M🔵 30 🟢</t>
  </si>
  <si>
    <t>80 🔴</t>
  </si>
  <si>
    <t>Butterfly</t>
  </si>
  <si>
    <t>12-15</t>
  </si>
  <si>
    <t>40 🔴</t>
  </si>
  <si>
    <t>40 🟣</t>
  </si>
  <si>
    <t>40 🟡</t>
  </si>
  <si>
    <t>OHP Standing</t>
  </si>
  <si>
    <t>M🔵 30 🟡</t>
  </si>
  <si>
    <t>30 🟡</t>
  </si>
  <si>
    <t>35 🟡</t>
  </si>
  <si>
    <t>Reversefly</t>
  </si>
  <si>
    <t>45 🔴</t>
  </si>
  <si>
    <t>25🟡  | 30 🟡</t>
  </si>
  <si>
    <t>30 🟡 | 45 🟡</t>
  </si>
  <si>
    <t>nazwa ćwiczenia</t>
  </si>
  <si>
    <t>Lower B</t>
  </si>
  <si>
    <t>Split squat</t>
  </si>
  <si>
    <t>22.5 🟡</t>
  </si>
  <si>
    <t>22.5 🟢</t>
  </si>
  <si>
    <t>25 🟡</t>
  </si>
  <si>
    <t>Hip thrust</t>
  </si>
  <si>
    <t>100 🔴</t>
  </si>
  <si>
    <t>110 🟡</t>
  </si>
  <si>
    <t xml:space="preserve">Uginanie podudzi leżąc </t>
  </si>
  <si>
    <t>10-12</t>
  </si>
  <si>
    <t>Przywodziciele</t>
  </si>
  <si>
    <t>Inne</t>
  </si>
  <si>
    <t>DANE</t>
  </si>
  <si>
    <t>PŁEĆ</t>
  </si>
  <si>
    <t>WIEK</t>
  </si>
  <si>
    <t>WZROST</t>
  </si>
  <si>
    <t>mężczyzna</t>
  </si>
  <si>
    <t>WAGA</t>
  </si>
  <si>
    <t>20.07</t>
  </si>
  <si>
    <t>107.8</t>
  </si>
  <si>
    <t>24.08</t>
  </si>
  <si>
    <t>30.08</t>
  </si>
  <si>
    <t>Δ</t>
  </si>
  <si>
    <t>KLATA</t>
  </si>
  <si>
    <t>PAS</t>
  </si>
  <si>
    <t>BICEPS</t>
  </si>
  <si>
    <t>UDO</t>
  </si>
  <si>
    <t>ŁYDKA</t>
  </si>
  <si>
    <t>PAL</t>
  </si>
  <si>
    <t>BMI</t>
  </si>
  <si>
    <t>TDEE</t>
  </si>
  <si>
    <t>30.09</t>
  </si>
  <si>
    <t>13.10</t>
  </si>
  <si>
    <t>20.10</t>
  </si>
  <si>
    <t>27.10</t>
  </si>
  <si>
    <t>PODS.</t>
  </si>
  <si>
    <t>17.11</t>
  </si>
  <si>
    <t>24.11</t>
  </si>
  <si>
    <t>15.12</t>
  </si>
  <si>
    <t>22.12</t>
  </si>
  <si>
    <t>22.13</t>
  </si>
  <si>
    <t>---</t>
  </si>
  <si>
    <t>14.01</t>
  </si>
  <si>
    <t>24.01</t>
  </si>
  <si>
    <t>AKTYWACJE</t>
  </si>
  <si>
    <t>Tutaj wpisujesz notatki czyli np (ciężar) powtórzenia, powtórzenia, powtórzenia  ⬇️</t>
  </si>
  <si>
    <t>Powtórzenia</t>
  </si>
  <si>
    <t>Przerwa</t>
  </si>
  <si>
    <t>TEMPO</t>
  </si>
  <si>
    <t>RIR</t>
  </si>
  <si>
    <t>Uwagi</t>
  </si>
  <si>
    <t>Tureckie wstawanie</t>
  </si>
  <si>
    <t>aureola</t>
  </si>
  <si>
    <t xml:space="preserve">zwis na drazku </t>
  </si>
  <si>
    <t>RIR/SIR</t>
  </si>
  <si>
    <t>Tydzień 1</t>
  </si>
  <si>
    <t>Tydzień 2</t>
  </si>
  <si>
    <t>Tydzień 3</t>
  </si>
  <si>
    <t>Tydzień 4</t>
  </si>
  <si>
    <t>Tydzień 5</t>
  </si>
  <si>
    <t>Tydzień 6</t>
  </si>
  <si>
    <t>Ćwiczenia główne</t>
  </si>
  <si>
    <t>Wyciskanie hantli na ławce poziomej</t>
  </si>
  <si>
    <t>12.5 🟢</t>
  </si>
  <si>
    <t>15 🟡</t>
  </si>
  <si>
    <t>30 🟢</t>
  </si>
  <si>
    <t>45.5 🟡</t>
  </si>
  <si>
    <t>Wyciskanie hantli nad głowe na ławce</t>
  </si>
  <si>
    <t>10</t>
  </si>
  <si>
    <t>Lat pull down nachwytem</t>
  </si>
  <si>
    <t>Wyciskanie na hummerze</t>
  </si>
  <si>
    <t>Reszta</t>
  </si>
  <si>
    <t xml:space="preserve">Plank </t>
  </si>
  <si>
    <t>2-3</t>
  </si>
  <si>
    <t>1m 🟢</t>
  </si>
  <si>
    <t>1m20s🟡</t>
  </si>
  <si>
    <t>1m20s 🟡</t>
  </si>
  <si>
    <t>Goblet squat / Hax</t>
  </si>
  <si>
    <t>32 🟡</t>
  </si>
  <si>
    <t>HAX 80 🔴 | 70 🟡</t>
  </si>
  <si>
    <t>8</t>
  </si>
  <si>
    <t>50 🟢</t>
  </si>
  <si>
    <t>Wyprosty na maszynie siedząc na czwórki</t>
  </si>
  <si>
    <t>Wyciskanie hantli na skosie dodatnim</t>
  </si>
  <si>
    <t>15 🟢 17.5 🟡</t>
  </si>
  <si>
    <t>Podciąganie z asekuracją/ australijskie</t>
  </si>
  <si>
    <t>WLN 🔴</t>
  </si>
  <si>
    <t>Rozpiętki na butterfly</t>
  </si>
  <si>
    <t>35🟡</t>
  </si>
  <si>
    <t>35 🔴 30 🟡</t>
  </si>
  <si>
    <t>Wznosy bokiem linką na bramie</t>
  </si>
  <si>
    <t>10 🔴</t>
  </si>
  <si>
    <t>5 🟡</t>
  </si>
  <si>
    <t>10 🔴 5 🟢</t>
  </si>
  <si>
    <t>FLGT 25 🟡</t>
  </si>
  <si>
    <t>Tył barku na butterfly</t>
  </si>
  <si>
    <t>35 🟢</t>
  </si>
  <si>
    <t>Uginanie hantli+ prostowanie tricepsa na warkoczach SUPER SERIA</t>
  </si>
  <si>
    <t>12.5 🟢 20 🟡</t>
  </si>
  <si>
    <t xml:space="preserve"> 15 🟡 20 🟡</t>
  </si>
  <si>
    <t>20 🟡 25 🔴</t>
  </si>
  <si>
    <t>EZ 25 🟡 25 🟡</t>
  </si>
  <si>
    <t>25 🟡 25 🟡</t>
  </si>
  <si>
    <t>3-5</t>
  </si>
  <si>
    <t>12.5 🟡</t>
  </si>
  <si>
    <t xml:space="preserve">Łydki siedząc </t>
  </si>
  <si>
    <t>55 🔴</t>
  </si>
  <si>
    <t>70 🔴</t>
  </si>
  <si>
    <t>Martwy robak</t>
  </si>
  <si>
    <t>1m 🟡</t>
  </si>
  <si>
    <t>PLANK 1m 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</si>
</sst>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mm.dd"/>
    <numFmt numFmtId="166" formatCode="m.d"/>
    <numFmt numFmtId="167" formatCode="d.m.yyyy"/>
  </numFmts>
  <fonts count="24">
    <font>
      <sz val="10.0"/>
      <color rgb="FF000000"/>
      <name val="Arial"/>
      <scheme val="minor"/>
    </font>
    <font>
      <b/>
      <sz val="12.0"/>
      <color theme="1"/>
      <name val="Arial"/>
    </font>
    <font>
      <b/>
      <sz val="19.0"/>
      <color rgb="FFFFFFFF"/>
      <name val="Arial"/>
    </font>
    <font>
      <sz val="14.0"/>
      <color rgb="FF999999"/>
      <name val="Arial"/>
    </font>
    <font>
      <sz val="12.0"/>
      <color theme="1"/>
      <name val="Arial"/>
    </font>
    <font>
      <sz val="10.0"/>
      <color theme="1"/>
      <name val="Arial"/>
    </font>
    <font>
      <b/>
      <sz val="16.0"/>
      <color rgb="FFFFFFFF"/>
      <name val="Arial"/>
    </font>
    <font/>
    <font>
      <b/>
      <sz val="12.0"/>
      <color rgb="FF000000"/>
      <name val="Arial"/>
    </font>
    <font>
      <color theme="1"/>
      <name val="Arial"/>
    </font>
    <font>
      <sz val="12.0"/>
      <color theme="1"/>
      <name val="Arial"/>
      <scheme val="minor"/>
    </font>
    <font>
      <sz val="12.0"/>
      <color rgb="FF666666"/>
      <name val="Arial"/>
    </font>
    <font>
      <color rgb="FF000000"/>
      <name val="Arial"/>
    </font>
    <font>
      <b/>
      <sz val="15.0"/>
      <color rgb="FFFFFFFF"/>
      <name val="Arial"/>
    </font>
    <font>
      <b/>
      <sz val="12.0"/>
      <color rgb="FFFFFFFF"/>
      <name val="Arial"/>
    </font>
    <font>
      <i/>
      <color theme="1"/>
      <name val="Arial"/>
    </font>
    <font>
      <sz val="13.0"/>
      <color theme="1"/>
      <name val="Arial"/>
    </font>
    <font>
      <b/>
      <color rgb="FFFFFFFF"/>
      <name val="Arial"/>
    </font>
    <font>
      <b/>
      <i/>
      <color rgb="FFFFFFFF"/>
      <name val="Arial"/>
    </font>
    <font>
      <sz val="10.0"/>
      <color rgb="FF999999"/>
      <name val="Arial"/>
    </font>
    <font>
      <b/>
      <sz val="14.0"/>
      <color rgb="FFFFFFFF"/>
      <name val="Arial"/>
    </font>
    <font>
      <b/>
      <sz val="12.0"/>
      <color rgb="FF666666"/>
      <name val="Arial"/>
    </font>
    <font>
      <sz val="12.0"/>
      <color rgb="FF000000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509E"/>
        <bgColor rgb="FF00509E"/>
      </patternFill>
    </fill>
    <fill>
      <patternFill patternType="solid">
        <fgColor rgb="FFE6F7FF"/>
        <bgColor rgb="FFE6F7FF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8802AD"/>
        <bgColor rgb="FF8802AD"/>
      </patternFill>
    </fill>
    <fill>
      <patternFill patternType="solid">
        <fgColor rgb="FF9E5D00"/>
        <bgColor rgb="FF9E5D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4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2" fillId="2" fontId="6" numFmtId="0" xfId="0" applyAlignment="1" applyBorder="1" applyFont="1">
      <alignment horizontal="center" readingOrder="0" vertical="center"/>
    </xf>
    <xf borderId="3" fillId="0" fontId="7" numFmtId="0" xfId="0" applyBorder="1" applyFont="1"/>
    <xf borderId="4" fillId="0" fontId="7" numFmtId="0" xfId="0" applyBorder="1" applyFont="1"/>
    <xf borderId="2" fillId="2" fontId="6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8" numFmtId="49" xfId="0" applyAlignment="1" applyBorder="1" applyFill="1" applyFont="1" applyNumberFormat="1">
      <alignment horizontal="center" shrinkToFit="0" vertical="center" wrapText="1"/>
    </xf>
    <xf borderId="1" fillId="3" fontId="8" numFmtId="49" xfId="0" applyAlignment="1" applyBorder="1" applyFont="1" applyNumberFormat="1">
      <alignment horizontal="center" readingOrder="0" shrinkToFit="0" vertical="center" wrapText="1"/>
    </xf>
    <xf borderId="1" fillId="0" fontId="8" numFmtId="49" xfId="0" applyAlignment="1" applyBorder="1" applyFont="1" applyNumberFormat="1">
      <alignment horizontal="center" readingOrder="0" shrinkToFit="0" vertical="center" wrapText="1"/>
    </xf>
    <xf borderId="2" fillId="0" fontId="8" numFmtId="49" xfId="0" applyAlignment="1" applyBorder="1" applyFont="1" applyNumberFormat="1">
      <alignment horizontal="center" readingOrder="0" shrinkToFit="0" vertical="center" wrapText="1"/>
    </xf>
    <xf borderId="0" fillId="0" fontId="9" numFmtId="0" xfId="0" applyFont="1"/>
    <xf borderId="1" fillId="0" fontId="4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center"/>
    </xf>
    <xf borderId="1" fillId="4" fontId="11" numFmtId="0" xfId="0" applyAlignment="1" applyBorder="1" applyFill="1" applyFont="1">
      <alignment horizontal="center" readingOrder="0" shrinkToFit="0" vertical="center" wrapText="1"/>
    </xf>
    <xf borderId="1" fillId="5" fontId="11" numFmtId="49" xfId="0" applyAlignment="1" applyBorder="1" applyFill="1" applyFont="1" applyNumberFormat="1">
      <alignment horizontal="center" readingOrder="0" shrinkToFit="0" vertical="center" wrapText="1"/>
    </xf>
    <xf borderId="1" fillId="0" fontId="11" numFmtId="49" xfId="0" applyAlignment="1" applyBorder="1" applyFont="1" applyNumberFormat="1">
      <alignment horizontal="center" readingOrder="0" shrinkToFit="0" vertical="center" wrapText="1"/>
    </xf>
    <xf borderId="2" fillId="0" fontId="11" numFmtId="49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readingOrder="0" vertical="center"/>
    </xf>
    <xf borderId="6" fillId="0" fontId="7" numFmtId="0" xfId="0" applyBorder="1" applyFont="1"/>
    <xf borderId="1" fillId="6" fontId="11" numFmtId="0" xfId="0" applyAlignment="1" applyBorder="1" applyFill="1" applyFont="1">
      <alignment horizontal="center" readingOrder="0" shrinkToFit="0" vertical="center" wrapText="1"/>
    </xf>
    <xf borderId="7" fillId="0" fontId="7" numFmtId="0" xfId="0" applyBorder="1" applyFont="1"/>
    <xf borderId="0" fillId="0" fontId="12" numFmtId="49" xfId="0" applyFont="1" applyNumberFormat="1"/>
    <xf borderId="0" fillId="0" fontId="9" numFmtId="49" xfId="0" applyAlignment="1" applyFont="1" applyNumberFormat="1">
      <alignment horizontal="center" shrinkToFit="0" vertical="center" wrapText="1"/>
    </xf>
    <xf borderId="5" fillId="2" fontId="6" numFmtId="0" xfId="0" applyAlignment="1" applyBorder="1" applyFont="1">
      <alignment horizontal="center" vertical="center"/>
    </xf>
    <xf borderId="1" fillId="0" fontId="11" numFmtId="49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readingOrder="0" vertical="center"/>
    </xf>
    <xf borderId="0" fillId="7" fontId="6" numFmtId="0" xfId="0" applyAlignment="1" applyFill="1" applyFont="1">
      <alignment horizontal="center" vertical="center"/>
    </xf>
    <xf borderId="2" fillId="7" fontId="6" numFmtId="0" xfId="0" applyAlignment="1" applyBorder="1" applyFont="1">
      <alignment horizontal="center" readingOrder="0" vertical="center"/>
    </xf>
    <xf borderId="2" fillId="7" fontId="6" numFmtId="0" xfId="0" applyAlignment="1" applyBorder="1" applyFont="1">
      <alignment horizontal="center" vertical="center"/>
    </xf>
    <xf borderId="2" fillId="3" fontId="8" numFmtId="49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2" fontId="13" numFmtId="0" xfId="0" applyAlignment="1" applyBorder="1" applyFont="1">
      <alignment horizontal="center"/>
    </xf>
    <xf borderId="0" fillId="0" fontId="9" numFmtId="0" xfId="0" applyAlignment="1" applyFont="1">
      <alignment vertical="bottom"/>
    </xf>
    <xf borderId="0" fillId="0" fontId="9" numFmtId="0" xfId="0" applyFont="1"/>
    <xf borderId="1" fillId="2" fontId="1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2" fontId="13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5" fontId="9" numFmtId="165" xfId="0" applyAlignment="1" applyBorder="1" applyFont="1" applyNumberFormat="1">
      <alignment horizontal="center" readingOrder="0"/>
    </xf>
    <xf borderId="1" fillId="5" fontId="9" numFmtId="0" xfId="0" applyAlignment="1" applyBorder="1" applyFont="1">
      <alignment horizontal="center" readingOrder="0"/>
    </xf>
    <xf borderId="1" fillId="0" fontId="9" numFmtId="0" xfId="0" applyBorder="1" applyFont="1"/>
    <xf borderId="0" fillId="8" fontId="13" numFmtId="0" xfId="0" applyAlignment="1" applyFill="1" applyFont="1">
      <alignment horizontal="center"/>
    </xf>
    <xf borderId="7" fillId="8" fontId="13" numFmtId="0" xfId="0" applyAlignment="1" applyBorder="1" applyFont="1">
      <alignment horizontal="center"/>
    </xf>
    <xf borderId="1" fillId="5" fontId="9" numFmtId="0" xfId="0" applyAlignment="1" applyBorder="1" applyFont="1">
      <alignment horizontal="center"/>
    </xf>
    <xf borderId="1" fillId="9" fontId="15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5" fillId="4" fontId="16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bottom"/>
    </xf>
    <xf borderId="1" fillId="5" fontId="9" numFmtId="165" xfId="0" applyAlignment="1" applyBorder="1" applyFont="1" applyNumberFormat="1">
      <alignment horizontal="center"/>
    </xf>
    <xf borderId="1" fillId="2" fontId="17" numFmtId="0" xfId="0" applyAlignment="1" applyBorder="1" applyFont="1">
      <alignment horizontal="center"/>
    </xf>
    <xf borderId="1" fillId="2" fontId="9" numFmtId="0" xfId="0" applyBorder="1" applyFont="1"/>
    <xf borderId="1" fillId="2" fontId="18" numFmtId="0" xfId="0" applyAlignment="1" applyBorder="1" applyFont="1">
      <alignment horizontal="center"/>
    </xf>
    <xf borderId="1" fillId="5" fontId="9" numFmtId="166" xfId="0" applyAlignment="1" applyBorder="1" applyFont="1" applyNumberFormat="1">
      <alignment horizontal="center"/>
    </xf>
    <xf borderId="1" fillId="9" fontId="9" numFmtId="0" xfId="0" applyAlignment="1" applyBorder="1" applyFont="1">
      <alignment horizontal="center"/>
    </xf>
    <xf borderId="5" fillId="4" fontId="16" numFmtId="0" xfId="0" applyAlignment="1" applyBorder="1" applyFont="1">
      <alignment horizontal="center"/>
    </xf>
    <xf borderId="1" fillId="2" fontId="9" numFmtId="0" xfId="0" applyAlignment="1" applyBorder="1" applyFont="1">
      <alignment horizontal="center"/>
    </xf>
    <xf borderId="1" fillId="0" fontId="9" numFmtId="0" xfId="0" applyAlignment="1" applyBorder="1" applyFont="1">
      <alignment vertical="bottom"/>
    </xf>
    <xf borderId="0" fillId="0" fontId="19" numFmtId="0" xfId="0" applyAlignment="1" applyFont="1">
      <alignment horizontal="center" shrinkToFit="0" vertical="center" wrapText="1"/>
    </xf>
    <xf borderId="1" fillId="0" fontId="4" numFmtId="167" xfId="0" applyAlignment="1" applyBorder="1" applyFont="1" applyNumberFormat="1">
      <alignment horizontal="center" readingOrder="0" vertical="center"/>
    </xf>
    <xf borderId="5" fillId="8" fontId="9" numFmtId="49" xfId="0" applyBorder="1" applyFont="1" applyNumberFormat="1"/>
    <xf borderId="2" fillId="8" fontId="20" numFmtId="49" xfId="0" applyAlignment="1" applyBorder="1" applyFont="1" applyNumberFormat="1">
      <alignment horizontal="center" shrinkToFit="0" vertical="center" wrapText="1"/>
    </xf>
    <xf borderId="1" fillId="3" fontId="1" numFmtId="49" xfId="0" applyAlignment="1" applyBorder="1" applyFont="1" applyNumberFormat="1">
      <alignment horizontal="center" shrinkToFit="0" vertical="center" wrapText="1"/>
    </xf>
    <xf borderId="5" fillId="0" fontId="21" numFmtId="49" xfId="0" applyAlignment="1" applyBorder="1" applyFont="1" applyNumberFormat="1">
      <alignment horizontal="center" shrinkToFit="0" vertical="center" wrapText="1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1" fillId="0" fontId="4" numFmtId="49" xfId="0" applyAlignment="1" applyBorder="1" applyFont="1" applyNumberFormat="1">
      <alignment horizontal="center" vertical="center"/>
    </xf>
    <xf borderId="1" fillId="0" fontId="4" numFmtId="49" xfId="0" applyBorder="1" applyFont="1" applyNumberFormat="1"/>
    <xf borderId="1" fillId="0" fontId="1" numFmtId="49" xfId="0" applyAlignment="1" applyBorder="1" applyFont="1" applyNumberFormat="1">
      <alignment horizontal="center" vertical="center"/>
    </xf>
    <xf borderId="5" fillId="5" fontId="21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readingOrder="0" shrinkToFit="0" vertical="center" wrapText="1"/>
    </xf>
    <xf borderId="1" fillId="5" fontId="11" numFmtId="49" xfId="0" applyAlignment="1" applyBorder="1" applyFont="1" applyNumberFormat="1">
      <alignment horizontal="center" shrinkToFit="0" vertical="center" wrapText="1"/>
    </xf>
    <xf borderId="5" fillId="0" fontId="22" numFmtId="49" xfId="0" applyAlignment="1" applyBorder="1" applyFont="1" applyNumberFormat="1">
      <alignment horizontal="center" readingOrder="0" vertical="center"/>
    </xf>
    <xf borderId="5" fillId="0" fontId="12" numFmtId="49" xfId="0" applyBorder="1" applyFont="1" applyNumberFormat="1"/>
    <xf borderId="5" fillId="0" fontId="16" numFmtId="49" xfId="0" applyAlignment="1" applyBorder="1" applyFont="1" applyNumberFormat="1">
      <alignment horizontal="center" shrinkToFit="0" vertical="center" wrapText="1"/>
    </xf>
    <xf borderId="5" fillId="0" fontId="4" numFmtId="49" xfId="0" applyAlignment="1" applyBorder="1" applyFont="1" applyNumberFormat="1">
      <alignment horizontal="center" readingOrder="0" shrinkToFit="0" vertical="center" wrapText="1"/>
    </xf>
    <xf borderId="0" fillId="0" fontId="16" numFmtId="49" xfId="0" applyAlignment="1" applyFont="1" applyNumberFormat="1">
      <alignment horizontal="center" shrinkToFit="0" vertical="center" wrapText="1"/>
    </xf>
    <xf borderId="1" fillId="0" fontId="4" numFmtId="49" xfId="0" applyAlignment="1" applyBorder="1" applyFont="1" applyNumberFormat="1">
      <alignment horizontal="center" shrinkToFit="0" vertical="center" wrapText="1"/>
    </xf>
    <xf borderId="1" fillId="0" fontId="2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53.13"/>
    <col customWidth="1" min="3" max="3" width="8.88"/>
    <col customWidth="1" min="4" max="4" width="13.63"/>
    <col customWidth="1" min="5" max="10" width="18.88"/>
    <col customWidth="1" min="12" max="12" width="7.63"/>
    <col customWidth="1" min="14" max="14" width="16.88"/>
  </cols>
  <sheetData>
    <row r="1" ht="15.75" customHeight="1">
      <c r="A1" s="1"/>
    </row>
    <row r="2" ht="30.0" customHeight="1">
      <c r="A2" s="2" t="s">
        <v>0</v>
      </c>
      <c r="B2" s="3"/>
      <c r="E2" s="3"/>
      <c r="F2" s="4"/>
      <c r="G2" s="4"/>
      <c r="H2" s="4"/>
      <c r="I2" s="4"/>
      <c r="J2" s="4"/>
      <c r="K2" s="4"/>
      <c r="L2" s="4"/>
    </row>
    <row r="3" ht="30.0" customHeight="1">
      <c r="A3" s="5">
        <v>46027.0</v>
      </c>
      <c r="B3" s="6"/>
      <c r="C3" s="6"/>
      <c r="D3" s="6"/>
      <c r="E3" s="7"/>
      <c r="F3" s="4"/>
      <c r="G3" s="4"/>
      <c r="H3" s="4"/>
      <c r="I3" s="4"/>
      <c r="J3" s="4"/>
      <c r="K3" s="4"/>
      <c r="L3" s="4"/>
      <c r="N3" s="8"/>
    </row>
    <row r="4" ht="30.0" customHeight="1">
      <c r="E4" s="4"/>
      <c r="F4" s="4"/>
      <c r="G4" s="4"/>
      <c r="H4" s="4"/>
      <c r="I4" s="4"/>
      <c r="J4" s="4"/>
      <c r="K4" s="4"/>
      <c r="L4" s="4"/>
      <c r="N4" s="9"/>
    </row>
    <row r="5" ht="30.0" customHeight="1">
      <c r="A5" s="10"/>
      <c r="B5" s="11" t="s">
        <v>1</v>
      </c>
      <c r="C5" s="12"/>
      <c r="D5" s="13"/>
      <c r="E5" s="14" t="s">
        <v>2</v>
      </c>
      <c r="F5" s="12"/>
      <c r="G5" s="12"/>
      <c r="H5" s="12"/>
      <c r="I5" s="12"/>
      <c r="J5" s="12"/>
      <c r="K5" s="12"/>
      <c r="L5" s="12"/>
      <c r="N5" s="15" t="s">
        <v>3</v>
      </c>
    </row>
    <row r="6" ht="37.5" customHeight="1">
      <c r="B6" s="16" t="s">
        <v>4</v>
      </c>
      <c r="C6" s="16" t="s">
        <v>5</v>
      </c>
      <c r="D6" s="17" t="s">
        <v>6</v>
      </c>
      <c r="E6" s="18" t="s">
        <v>7</v>
      </c>
      <c r="F6" s="18" t="s">
        <v>8</v>
      </c>
      <c r="G6" s="18" t="s">
        <v>9</v>
      </c>
      <c r="H6" s="18" t="s">
        <v>10</v>
      </c>
      <c r="I6" s="18" t="s">
        <v>11</v>
      </c>
      <c r="J6" s="18" t="s">
        <v>12</v>
      </c>
      <c r="K6" s="19" t="s">
        <v>13</v>
      </c>
      <c r="L6" s="13"/>
      <c r="M6" s="20"/>
      <c r="N6" s="21" t="s">
        <v>14</v>
      </c>
    </row>
    <row r="7" ht="37.5" customHeight="1">
      <c r="A7" s="22"/>
      <c r="B7" s="23" t="s">
        <v>15</v>
      </c>
      <c r="C7" s="24" t="s">
        <v>9</v>
      </c>
      <c r="D7" s="24" t="s">
        <v>16</v>
      </c>
      <c r="E7" s="25" t="s">
        <v>17</v>
      </c>
      <c r="F7" s="25" t="s">
        <v>18</v>
      </c>
      <c r="G7" s="25" t="s">
        <v>19</v>
      </c>
      <c r="H7" s="25" t="s">
        <v>20</v>
      </c>
      <c r="I7" s="25" t="s">
        <v>21</v>
      </c>
      <c r="J7" s="25"/>
      <c r="K7" s="26"/>
      <c r="L7" s="13"/>
      <c r="M7" s="20"/>
      <c r="N7" s="27" t="s">
        <v>22</v>
      </c>
    </row>
    <row r="8" ht="37.5" customHeight="1">
      <c r="A8" s="28"/>
      <c r="B8" s="23" t="s">
        <v>23</v>
      </c>
      <c r="C8" s="24" t="s">
        <v>9</v>
      </c>
      <c r="D8" s="24" t="s">
        <v>16</v>
      </c>
      <c r="E8" s="25" t="s">
        <v>24</v>
      </c>
      <c r="F8" s="25" t="s">
        <v>25</v>
      </c>
      <c r="G8" s="25" t="s">
        <v>26</v>
      </c>
      <c r="H8" s="25" t="s">
        <v>26</v>
      </c>
      <c r="I8" s="25" t="s">
        <v>21</v>
      </c>
      <c r="J8" s="25"/>
      <c r="K8" s="26"/>
      <c r="L8" s="13"/>
      <c r="M8" s="20"/>
      <c r="N8" s="27" t="s">
        <v>27</v>
      </c>
    </row>
    <row r="9" ht="37.5" customHeight="1">
      <c r="A9" s="28"/>
      <c r="B9" s="23" t="s">
        <v>28</v>
      </c>
      <c r="C9" s="24" t="s">
        <v>9</v>
      </c>
      <c r="D9" s="24" t="s">
        <v>16</v>
      </c>
      <c r="E9" s="25" t="s">
        <v>29</v>
      </c>
      <c r="F9" s="25" t="s">
        <v>30</v>
      </c>
      <c r="G9" s="25" t="s">
        <v>31</v>
      </c>
      <c r="H9" s="25" t="s">
        <v>32</v>
      </c>
      <c r="I9" s="25" t="s">
        <v>32</v>
      </c>
      <c r="J9" s="25"/>
      <c r="K9" s="26"/>
      <c r="L9" s="13"/>
      <c r="M9" s="20"/>
      <c r="N9" s="27" t="s">
        <v>33</v>
      </c>
    </row>
    <row r="10" ht="37.5" customHeight="1">
      <c r="A10" s="28"/>
      <c r="B10" s="23" t="s">
        <v>34</v>
      </c>
      <c r="C10" s="24" t="s">
        <v>9</v>
      </c>
      <c r="D10" s="24" t="s">
        <v>16</v>
      </c>
      <c r="E10" s="25" t="s">
        <v>35</v>
      </c>
      <c r="F10" s="25" t="s">
        <v>36</v>
      </c>
      <c r="G10" s="25" t="s">
        <v>35</v>
      </c>
      <c r="H10" s="25" t="s">
        <v>35</v>
      </c>
      <c r="I10" s="25" t="s">
        <v>37</v>
      </c>
      <c r="J10" s="25"/>
      <c r="K10" s="26"/>
      <c r="L10" s="13"/>
      <c r="M10" s="20"/>
      <c r="N10" s="27" t="s">
        <v>38</v>
      </c>
    </row>
    <row r="11" ht="37.5" customHeight="1">
      <c r="A11" s="28"/>
      <c r="B11" s="23" t="s">
        <v>39</v>
      </c>
      <c r="C11" s="24" t="s">
        <v>8</v>
      </c>
      <c r="D11" s="24" t="s">
        <v>16</v>
      </c>
      <c r="E11" s="25" t="s">
        <v>26</v>
      </c>
      <c r="F11" s="25" t="s">
        <v>40</v>
      </c>
      <c r="G11" s="25" t="s">
        <v>35</v>
      </c>
      <c r="H11" s="25" t="s">
        <v>37</v>
      </c>
      <c r="I11" s="25" t="s">
        <v>32</v>
      </c>
      <c r="J11" s="25"/>
      <c r="K11" s="26"/>
      <c r="L11" s="13"/>
      <c r="M11" s="20"/>
    </row>
    <row r="12" ht="37.5" customHeight="1">
      <c r="A12" s="28"/>
      <c r="B12" s="29" t="s">
        <v>41</v>
      </c>
      <c r="C12" s="24" t="s">
        <v>8</v>
      </c>
      <c r="D12" s="24" t="s">
        <v>16</v>
      </c>
      <c r="E12" s="25" t="s">
        <v>35</v>
      </c>
      <c r="F12" s="25" t="s">
        <v>36</v>
      </c>
      <c r="G12" s="25" t="s">
        <v>37</v>
      </c>
      <c r="H12" s="25" t="s">
        <v>35</v>
      </c>
      <c r="I12" s="25" t="s">
        <v>37</v>
      </c>
      <c r="J12" s="25"/>
      <c r="K12" s="26"/>
      <c r="L12" s="13"/>
      <c r="M12" s="20"/>
    </row>
    <row r="13" ht="37.5" customHeight="1">
      <c r="A13" s="30"/>
      <c r="B13" s="29" t="s">
        <v>42</v>
      </c>
      <c r="C13" s="24" t="s">
        <v>9</v>
      </c>
      <c r="D13" s="24" t="s">
        <v>16</v>
      </c>
      <c r="E13" s="25" t="s">
        <v>43</v>
      </c>
      <c r="F13" s="25" t="s">
        <v>44</v>
      </c>
      <c r="G13" s="25" t="s">
        <v>45</v>
      </c>
      <c r="H13" s="25" t="s">
        <v>46</v>
      </c>
      <c r="I13" s="25" t="s">
        <v>47</v>
      </c>
      <c r="J13" s="25"/>
      <c r="K13" s="26"/>
      <c r="L13" s="13"/>
      <c r="M13" s="20"/>
    </row>
    <row r="14" ht="15.75" customHeight="1">
      <c r="A14" s="31"/>
      <c r="B14" s="31"/>
      <c r="C14" s="31"/>
      <c r="D14" s="31"/>
      <c r="E14" s="32"/>
      <c r="F14" s="32"/>
      <c r="G14" s="32"/>
      <c r="H14" s="32"/>
      <c r="I14" s="32"/>
      <c r="J14" s="32"/>
      <c r="K14" s="32"/>
      <c r="L14" s="32"/>
    </row>
    <row r="15" ht="1.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</row>
    <row r="16" ht="30.0" customHeight="1">
      <c r="A16" s="10"/>
      <c r="B16" s="11" t="s">
        <v>48</v>
      </c>
      <c r="C16" s="12"/>
      <c r="D16" s="13"/>
      <c r="E16" s="14" t="s">
        <v>2</v>
      </c>
      <c r="F16" s="12"/>
      <c r="G16" s="12"/>
      <c r="H16" s="12"/>
      <c r="I16" s="12"/>
      <c r="J16" s="12"/>
      <c r="K16" s="12"/>
      <c r="L16" s="12"/>
    </row>
    <row r="17" ht="37.5" customHeight="1">
      <c r="B17" s="16" t="s">
        <v>4</v>
      </c>
      <c r="C17" s="16" t="s">
        <v>5</v>
      </c>
      <c r="D17" s="17" t="s">
        <v>6</v>
      </c>
      <c r="E17" s="18" t="s">
        <v>7</v>
      </c>
      <c r="F17" s="18" t="s">
        <v>8</v>
      </c>
      <c r="G17" s="18" t="s">
        <v>9</v>
      </c>
      <c r="H17" s="18" t="s">
        <v>10</v>
      </c>
      <c r="I17" s="18" t="s">
        <v>11</v>
      </c>
      <c r="J17" s="18" t="s">
        <v>12</v>
      </c>
      <c r="K17" s="19" t="s">
        <v>13</v>
      </c>
      <c r="L17" s="13"/>
    </row>
    <row r="18" ht="37.5" customHeight="1">
      <c r="A18" s="22"/>
      <c r="B18" s="23" t="s">
        <v>49</v>
      </c>
      <c r="C18" s="24" t="s">
        <v>9</v>
      </c>
      <c r="D18" s="24" t="s">
        <v>16</v>
      </c>
      <c r="E18" s="25" t="s">
        <v>50</v>
      </c>
      <c r="F18" s="25" t="s">
        <v>51</v>
      </c>
      <c r="G18" s="25" t="s">
        <v>32</v>
      </c>
      <c r="H18" s="25" t="s">
        <v>52</v>
      </c>
      <c r="I18" s="25" t="s">
        <v>53</v>
      </c>
      <c r="J18" s="25"/>
      <c r="K18" s="26"/>
      <c r="L18" s="13"/>
    </row>
    <row r="19" ht="37.5" customHeight="1">
      <c r="A19" s="28"/>
      <c r="B19" s="23" t="s">
        <v>54</v>
      </c>
      <c r="C19" s="24" t="s">
        <v>9</v>
      </c>
      <c r="D19" s="24" t="s">
        <v>16</v>
      </c>
      <c r="E19" s="25" t="s">
        <v>37</v>
      </c>
      <c r="F19" s="25" t="s">
        <v>51</v>
      </c>
      <c r="G19" s="25" t="s">
        <v>55</v>
      </c>
      <c r="H19" s="25" t="s">
        <v>32</v>
      </c>
      <c r="I19" s="25" t="s">
        <v>56</v>
      </c>
      <c r="J19" s="25"/>
      <c r="K19" s="26"/>
      <c r="L19" s="13"/>
    </row>
    <row r="20" ht="37.5" customHeight="1">
      <c r="A20" s="28"/>
      <c r="B20" s="23" t="s">
        <v>57</v>
      </c>
      <c r="C20" s="24" t="s">
        <v>9</v>
      </c>
      <c r="D20" s="24" t="s">
        <v>16</v>
      </c>
      <c r="E20" s="25" t="s">
        <v>58</v>
      </c>
      <c r="F20" s="25" t="s">
        <v>25</v>
      </c>
      <c r="G20" s="25" t="s">
        <v>58</v>
      </c>
      <c r="H20" s="25" t="s">
        <v>58</v>
      </c>
      <c r="I20" s="25" t="s">
        <v>58</v>
      </c>
      <c r="J20" s="25"/>
      <c r="K20" s="26"/>
      <c r="L20" s="13"/>
    </row>
    <row r="21" ht="37.5" customHeight="1">
      <c r="A21" s="28"/>
      <c r="B21" s="29" t="s">
        <v>59</v>
      </c>
      <c r="C21" s="24" t="s">
        <v>9</v>
      </c>
      <c r="D21" s="24" t="s">
        <v>60</v>
      </c>
      <c r="E21" s="25" t="s">
        <v>61</v>
      </c>
      <c r="F21" s="25" t="s">
        <v>62</v>
      </c>
      <c r="G21" s="25" t="s">
        <v>53</v>
      </c>
      <c r="H21" s="25" t="s">
        <v>53</v>
      </c>
      <c r="I21" s="25" t="s">
        <v>53</v>
      </c>
      <c r="J21" s="25"/>
      <c r="K21" s="26"/>
      <c r="L21" s="13"/>
    </row>
    <row r="22" ht="37.5" customHeight="1">
      <c r="A22" s="30"/>
      <c r="B22" s="29" t="s">
        <v>63</v>
      </c>
      <c r="C22" s="24" t="s">
        <v>8</v>
      </c>
      <c r="D22" s="24" t="s">
        <v>60</v>
      </c>
      <c r="E22" s="25" t="s">
        <v>64</v>
      </c>
      <c r="F22" s="25" t="s">
        <v>64</v>
      </c>
      <c r="G22" s="25" t="s">
        <v>64</v>
      </c>
      <c r="H22" s="25" t="s">
        <v>64</v>
      </c>
      <c r="I22" s="25" t="s">
        <v>64</v>
      </c>
      <c r="J22" s="25"/>
      <c r="K22" s="26"/>
      <c r="L22" s="13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</row>
    <row r="24" ht="30.0" customHeight="1">
      <c r="A24" s="33"/>
      <c r="B24" s="11" t="s">
        <v>65</v>
      </c>
      <c r="C24" s="12"/>
      <c r="D24" s="13"/>
      <c r="E24" s="14" t="s">
        <v>2</v>
      </c>
      <c r="F24" s="12"/>
      <c r="G24" s="12"/>
      <c r="H24" s="12"/>
      <c r="I24" s="12"/>
      <c r="J24" s="12"/>
      <c r="K24" s="12"/>
      <c r="L24" s="12"/>
    </row>
    <row r="25" ht="37.5" customHeight="1">
      <c r="A25" s="30"/>
      <c r="B25" s="16" t="s">
        <v>4</v>
      </c>
      <c r="C25" s="16" t="s">
        <v>5</v>
      </c>
      <c r="D25" s="17" t="s">
        <v>6</v>
      </c>
      <c r="E25" s="18" t="s">
        <v>7</v>
      </c>
      <c r="F25" s="18" t="s">
        <v>8</v>
      </c>
      <c r="G25" s="18" t="s">
        <v>9</v>
      </c>
      <c r="H25" s="18" t="s">
        <v>10</v>
      </c>
      <c r="I25" s="18" t="s">
        <v>11</v>
      </c>
      <c r="J25" s="18" t="s">
        <v>12</v>
      </c>
      <c r="K25" s="19" t="s">
        <v>13</v>
      </c>
      <c r="L25" s="13"/>
    </row>
    <row r="26" ht="37.5" customHeight="1">
      <c r="A26" s="22"/>
      <c r="B26" s="23" t="s">
        <v>66</v>
      </c>
      <c r="C26" s="24" t="s">
        <v>9</v>
      </c>
      <c r="D26" s="24" t="s">
        <v>16</v>
      </c>
      <c r="E26" s="25" t="s">
        <v>17</v>
      </c>
      <c r="F26" s="25" t="s">
        <v>67</v>
      </c>
      <c r="G26" s="25" t="s">
        <v>68</v>
      </c>
      <c r="H26" s="25" t="s">
        <v>32</v>
      </c>
      <c r="I26" s="25" t="s">
        <v>56</v>
      </c>
      <c r="J26" s="34"/>
      <c r="K26" s="26"/>
      <c r="L26" s="13"/>
    </row>
    <row r="27" ht="37.5" customHeight="1">
      <c r="A27" s="28"/>
      <c r="B27" s="23" t="s">
        <v>34</v>
      </c>
      <c r="C27" s="24" t="s">
        <v>9</v>
      </c>
      <c r="D27" s="24" t="s">
        <v>16</v>
      </c>
      <c r="E27" s="25" t="s">
        <v>35</v>
      </c>
      <c r="F27" s="25" t="s">
        <v>35</v>
      </c>
      <c r="G27" s="25" t="s">
        <v>35</v>
      </c>
      <c r="H27" s="25" t="s">
        <v>37</v>
      </c>
      <c r="I27" s="25" t="s">
        <v>55</v>
      </c>
      <c r="J27" s="34"/>
      <c r="K27" s="26"/>
      <c r="L27" s="13"/>
    </row>
    <row r="28" ht="37.5" customHeight="1">
      <c r="A28" s="28"/>
      <c r="B28" s="23" t="s">
        <v>69</v>
      </c>
      <c r="C28" s="24" t="s">
        <v>8</v>
      </c>
      <c r="D28" s="24" t="s">
        <v>70</v>
      </c>
      <c r="E28" s="25" t="s">
        <v>71</v>
      </c>
      <c r="F28" s="25" t="s">
        <v>72</v>
      </c>
      <c r="G28" s="25" t="s">
        <v>73</v>
      </c>
      <c r="H28" s="25" t="s">
        <v>58</v>
      </c>
      <c r="I28" s="25" t="s">
        <v>26</v>
      </c>
      <c r="J28" s="34"/>
      <c r="K28" s="26"/>
      <c r="L28" s="13"/>
    </row>
    <row r="29" ht="37.5" customHeight="1">
      <c r="A29" s="28"/>
      <c r="B29" s="29" t="s">
        <v>74</v>
      </c>
      <c r="C29" s="24" t="s">
        <v>9</v>
      </c>
      <c r="D29" s="24" t="s">
        <v>16</v>
      </c>
      <c r="E29" s="25" t="s">
        <v>75</v>
      </c>
      <c r="F29" s="25" t="s">
        <v>21</v>
      </c>
      <c r="G29" s="25" t="s">
        <v>76</v>
      </c>
      <c r="H29" s="25" t="s">
        <v>77</v>
      </c>
      <c r="I29" s="25" t="s">
        <v>77</v>
      </c>
      <c r="J29" s="34"/>
      <c r="K29" s="26"/>
      <c r="L29" s="13"/>
    </row>
    <row r="30" ht="37.5" customHeight="1">
      <c r="A30" s="28"/>
      <c r="B30" s="29" t="s">
        <v>78</v>
      </c>
      <c r="C30" s="24" t="s">
        <v>9</v>
      </c>
      <c r="D30" s="24" t="s">
        <v>60</v>
      </c>
      <c r="E30" s="25" t="s">
        <v>21</v>
      </c>
      <c r="F30" s="25" t="s">
        <v>72</v>
      </c>
      <c r="G30" s="25" t="s">
        <v>73</v>
      </c>
      <c r="H30" s="25" t="s">
        <v>79</v>
      </c>
      <c r="I30" s="25" t="s">
        <v>58</v>
      </c>
      <c r="J30" s="34"/>
      <c r="K30" s="26"/>
      <c r="L30" s="13"/>
    </row>
    <row r="31" ht="37.5" customHeight="1">
      <c r="A31" s="30"/>
      <c r="B31" s="29" t="s">
        <v>42</v>
      </c>
      <c r="C31" s="24" t="s">
        <v>8</v>
      </c>
      <c r="D31" s="24" t="s">
        <v>16</v>
      </c>
      <c r="E31" s="25" t="s">
        <v>80</v>
      </c>
      <c r="F31" s="25" t="s">
        <v>45</v>
      </c>
      <c r="G31" s="25" t="s">
        <v>45</v>
      </c>
      <c r="H31" s="25" t="s">
        <v>46</v>
      </c>
      <c r="I31" s="25" t="s">
        <v>81</v>
      </c>
      <c r="J31" s="34"/>
      <c r="K31" s="26"/>
      <c r="L31" s="13"/>
    </row>
    <row r="32" ht="22.5" hidden="1" customHeight="1">
      <c r="A32" s="35"/>
      <c r="B32" s="36" t="s">
        <v>82</v>
      </c>
      <c r="C32" s="36"/>
      <c r="D32" s="36"/>
      <c r="E32" s="36"/>
      <c r="F32" s="36"/>
      <c r="G32" s="36"/>
      <c r="H32" s="36"/>
      <c r="I32" s="36"/>
      <c r="J32" s="36"/>
      <c r="K32" s="37"/>
      <c r="L32" s="13"/>
    </row>
    <row r="33" ht="22.5" hidden="1" customHeight="1">
      <c r="A33" s="35"/>
      <c r="B33" s="36" t="s">
        <v>82</v>
      </c>
      <c r="C33" s="36"/>
      <c r="D33" s="36"/>
      <c r="E33" s="36"/>
      <c r="F33" s="36"/>
      <c r="G33" s="36"/>
      <c r="H33" s="36"/>
      <c r="I33" s="36"/>
      <c r="J33" s="36"/>
      <c r="K33" s="37"/>
      <c r="L33" s="13"/>
    </row>
    <row r="34" ht="15.75" customHeight="1"/>
    <row r="35" ht="37.5" customHeight="1">
      <c r="A35" s="10"/>
      <c r="B35" s="11" t="s">
        <v>83</v>
      </c>
      <c r="C35" s="12"/>
      <c r="D35" s="13"/>
      <c r="E35" s="14" t="s">
        <v>2</v>
      </c>
      <c r="F35" s="12"/>
      <c r="G35" s="12"/>
      <c r="H35" s="12"/>
      <c r="I35" s="12"/>
      <c r="J35" s="12"/>
      <c r="K35" s="12"/>
      <c r="L35" s="12"/>
    </row>
    <row r="36" ht="37.5" customHeight="1">
      <c r="B36" s="16" t="s">
        <v>4</v>
      </c>
      <c r="C36" s="16" t="s">
        <v>5</v>
      </c>
      <c r="D36" s="17" t="s">
        <v>6</v>
      </c>
      <c r="E36" s="18" t="s">
        <v>7</v>
      </c>
      <c r="F36" s="18" t="s">
        <v>8</v>
      </c>
      <c r="G36" s="18" t="s">
        <v>9</v>
      </c>
      <c r="H36" s="18" t="s">
        <v>10</v>
      </c>
      <c r="I36" s="18" t="s">
        <v>11</v>
      </c>
      <c r="J36" s="18" t="s">
        <v>12</v>
      </c>
      <c r="K36" s="19" t="s">
        <v>11</v>
      </c>
      <c r="L36" s="13"/>
    </row>
    <row r="37" ht="37.5" customHeight="1">
      <c r="A37" s="22"/>
      <c r="B37" s="23" t="s">
        <v>84</v>
      </c>
      <c r="C37" s="24" t="s">
        <v>9</v>
      </c>
      <c r="D37" s="24" t="s">
        <v>16</v>
      </c>
      <c r="E37" s="25" t="s">
        <v>85</v>
      </c>
      <c r="F37" s="25" t="s">
        <v>85</v>
      </c>
      <c r="G37" s="25" t="s">
        <v>86</v>
      </c>
      <c r="H37" s="25" t="s">
        <v>87</v>
      </c>
      <c r="I37" s="25" t="s">
        <v>87</v>
      </c>
      <c r="J37" s="34"/>
      <c r="K37" s="26"/>
      <c r="L37" s="13"/>
    </row>
    <row r="38" ht="37.5" customHeight="1">
      <c r="A38" s="28"/>
      <c r="B38" s="23" t="s">
        <v>88</v>
      </c>
      <c r="C38" s="24" t="s">
        <v>9</v>
      </c>
      <c r="D38" s="24" t="s">
        <v>16</v>
      </c>
      <c r="E38" s="25" t="s">
        <v>56</v>
      </c>
      <c r="F38" s="25" t="s">
        <v>89</v>
      </c>
      <c r="G38" s="25" t="s">
        <v>53</v>
      </c>
      <c r="H38" s="25" t="s">
        <v>53</v>
      </c>
      <c r="I38" s="25" t="s">
        <v>90</v>
      </c>
      <c r="J38" s="34"/>
      <c r="K38" s="26"/>
      <c r="L38" s="13"/>
    </row>
    <row r="39" ht="37.5" customHeight="1">
      <c r="A39" s="28"/>
      <c r="B39" s="23" t="s">
        <v>91</v>
      </c>
      <c r="C39" s="24" t="s">
        <v>9</v>
      </c>
      <c r="D39" s="24" t="s">
        <v>16</v>
      </c>
      <c r="E39" s="25" t="s">
        <v>35</v>
      </c>
      <c r="F39" s="25" t="s">
        <v>37</v>
      </c>
      <c r="G39" s="25" t="s">
        <v>37</v>
      </c>
      <c r="H39" s="25" t="s">
        <v>55</v>
      </c>
      <c r="I39" s="25" t="s">
        <v>21</v>
      </c>
      <c r="J39" s="34"/>
      <c r="K39" s="26"/>
      <c r="L39" s="13"/>
    </row>
    <row r="40" ht="37.5" customHeight="1">
      <c r="A40" s="28"/>
      <c r="B40" s="38" t="s">
        <v>59</v>
      </c>
      <c r="C40" s="24" t="s">
        <v>9</v>
      </c>
      <c r="D40" s="24" t="s">
        <v>92</v>
      </c>
      <c r="E40" s="25" t="s">
        <v>61</v>
      </c>
      <c r="F40" s="25" t="s">
        <v>53</v>
      </c>
      <c r="G40" s="25" t="s">
        <v>53</v>
      </c>
      <c r="H40" s="25" t="s">
        <v>53</v>
      </c>
      <c r="I40" s="25" t="s">
        <v>21</v>
      </c>
      <c r="J40" s="34"/>
      <c r="K40" s="26"/>
      <c r="L40" s="13"/>
    </row>
    <row r="41" ht="37.5" customHeight="1">
      <c r="A41" s="28"/>
      <c r="B41" s="38" t="s">
        <v>93</v>
      </c>
      <c r="C41" s="24"/>
      <c r="D41" s="24" t="s">
        <v>16</v>
      </c>
      <c r="E41" s="25" t="s">
        <v>21</v>
      </c>
      <c r="F41" s="25" t="s">
        <v>21</v>
      </c>
      <c r="G41" s="25" t="s">
        <v>21</v>
      </c>
      <c r="H41" s="25" t="s">
        <v>37</v>
      </c>
      <c r="I41" s="25" t="s">
        <v>32</v>
      </c>
      <c r="J41" s="34"/>
      <c r="K41" s="26"/>
      <c r="L41" s="13"/>
    </row>
    <row r="42" ht="37.5" customHeight="1">
      <c r="A42" s="30"/>
      <c r="B42" s="38" t="s">
        <v>41</v>
      </c>
      <c r="C42" s="24" t="s">
        <v>9</v>
      </c>
      <c r="D42" s="24" t="s">
        <v>16</v>
      </c>
      <c r="E42" s="25" t="s">
        <v>21</v>
      </c>
      <c r="F42" s="25" t="s">
        <v>36</v>
      </c>
      <c r="G42" s="25" t="s">
        <v>36</v>
      </c>
      <c r="H42" s="25" t="s">
        <v>51</v>
      </c>
      <c r="I42" s="25" t="s">
        <v>21</v>
      </c>
      <c r="J42" s="34"/>
      <c r="K42" s="26"/>
      <c r="L42" s="13"/>
    </row>
    <row r="43" ht="15.75" customHeight="1"/>
    <row r="44" ht="37.5" customHeight="1">
      <c r="A44" s="39"/>
      <c r="B44" s="40" t="s">
        <v>94</v>
      </c>
      <c r="C44" s="12"/>
      <c r="D44" s="13"/>
      <c r="E44" s="41" t="s">
        <v>2</v>
      </c>
      <c r="F44" s="12"/>
      <c r="G44" s="12"/>
      <c r="H44" s="12"/>
      <c r="I44" s="12"/>
      <c r="J44" s="12"/>
      <c r="K44" s="12"/>
      <c r="L44" s="12"/>
    </row>
    <row r="45" ht="37.5" customHeight="1">
      <c r="B45" s="16" t="s">
        <v>4</v>
      </c>
      <c r="C45" s="16" t="s">
        <v>5</v>
      </c>
      <c r="D45" s="17" t="s">
        <v>6</v>
      </c>
      <c r="E45" s="17" t="s">
        <v>7</v>
      </c>
      <c r="F45" s="17" t="s">
        <v>8</v>
      </c>
      <c r="G45" s="17" t="s">
        <v>9</v>
      </c>
      <c r="H45" s="17" t="s">
        <v>10</v>
      </c>
      <c r="I45" s="17" t="s">
        <v>11</v>
      </c>
      <c r="J45" s="17" t="s">
        <v>12</v>
      </c>
      <c r="K45" s="42" t="s">
        <v>13</v>
      </c>
      <c r="L45" s="13"/>
    </row>
    <row r="46" ht="37.5" customHeight="1">
      <c r="A46" s="22"/>
      <c r="B46" s="27"/>
      <c r="C46" s="24"/>
      <c r="D46" s="24"/>
      <c r="E46" s="25"/>
      <c r="F46" s="25"/>
      <c r="G46" s="25"/>
      <c r="H46" s="25"/>
      <c r="I46" s="25"/>
      <c r="J46" s="34"/>
      <c r="K46" s="26"/>
      <c r="L46" s="13"/>
    </row>
    <row r="47" ht="37.5" customHeight="1">
      <c r="A47" s="28"/>
      <c r="B47" s="27"/>
      <c r="C47" s="24"/>
      <c r="D47" s="24"/>
      <c r="E47" s="25"/>
      <c r="F47" s="25"/>
      <c r="G47" s="25"/>
      <c r="H47" s="25"/>
      <c r="I47" s="25"/>
      <c r="J47" s="34"/>
      <c r="K47" s="26"/>
      <c r="L47" s="13"/>
    </row>
    <row r="48" ht="37.5" customHeight="1">
      <c r="A48" s="28"/>
      <c r="B48" s="43"/>
      <c r="C48" s="24"/>
      <c r="D48" s="24"/>
      <c r="E48" s="25"/>
      <c r="F48" s="25"/>
      <c r="G48" s="25"/>
      <c r="H48" s="25"/>
      <c r="I48" s="25"/>
      <c r="J48" s="34"/>
      <c r="K48" s="26"/>
      <c r="L48" s="13"/>
    </row>
    <row r="49" ht="37.5" customHeight="1">
      <c r="A49" s="28"/>
      <c r="B49" s="27"/>
      <c r="C49" s="24"/>
      <c r="D49" s="24"/>
      <c r="E49" s="25"/>
      <c r="F49" s="25"/>
      <c r="G49" s="25"/>
      <c r="H49" s="25"/>
      <c r="I49" s="25"/>
      <c r="J49" s="34"/>
      <c r="K49" s="26"/>
      <c r="L49" s="13"/>
    </row>
    <row r="50" ht="37.5" customHeight="1">
      <c r="A50" s="30"/>
      <c r="B50" s="27"/>
      <c r="C50" s="24"/>
      <c r="D50" s="24"/>
      <c r="E50" s="25"/>
      <c r="F50" s="25"/>
      <c r="G50" s="25"/>
      <c r="H50" s="25"/>
      <c r="I50" s="25"/>
      <c r="J50" s="34"/>
      <c r="K50" s="26"/>
      <c r="L50" s="1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57">
    <mergeCell ref="K30:L30"/>
    <mergeCell ref="K31:L31"/>
    <mergeCell ref="K32:L32"/>
    <mergeCell ref="K33:L33"/>
    <mergeCell ref="K20:L20"/>
    <mergeCell ref="K21:L21"/>
    <mergeCell ref="K25:L25"/>
    <mergeCell ref="K26:L26"/>
    <mergeCell ref="K27:L27"/>
    <mergeCell ref="K28:L28"/>
    <mergeCell ref="K29:L29"/>
    <mergeCell ref="A44:A45"/>
    <mergeCell ref="A46:A50"/>
    <mergeCell ref="A18:A22"/>
    <mergeCell ref="A24:A25"/>
    <mergeCell ref="A26:A31"/>
    <mergeCell ref="A35:A36"/>
    <mergeCell ref="B35:D35"/>
    <mergeCell ref="B44:D44"/>
    <mergeCell ref="A37:A42"/>
    <mergeCell ref="K8:L8"/>
    <mergeCell ref="K9:L9"/>
    <mergeCell ref="K10:L10"/>
    <mergeCell ref="K11:L11"/>
    <mergeCell ref="K12:L12"/>
    <mergeCell ref="K13:L13"/>
    <mergeCell ref="B2:D2"/>
    <mergeCell ref="A5:A6"/>
    <mergeCell ref="B5:D5"/>
    <mergeCell ref="E5:L5"/>
    <mergeCell ref="K6:L6"/>
    <mergeCell ref="A7:A13"/>
    <mergeCell ref="K7:L7"/>
    <mergeCell ref="A16:A17"/>
    <mergeCell ref="B16:D16"/>
    <mergeCell ref="E16:L16"/>
    <mergeCell ref="K17:L17"/>
    <mergeCell ref="K18:L18"/>
    <mergeCell ref="K19:L19"/>
    <mergeCell ref="K22:L22"/>
    <mergeCell ref="B24:D24"/>
    <mergeCell ref="E24:L24"/>
    <mergeCell ref="E35:L35"/>
    <mergeCell ref="K36:L36"/>
    <mergeCell ref="K37:L37"/>
    <mergeCell ref="K38:L38"/>
    <mergeCell ref="K39:L39"/>
    <mergeCell ref="K49:L49"/>
    <mergeCell ref="K50:L50"/>
    <mergeCell ref="K40:L40"/>
    <mergeCell ref="K42:L42"/>
    <mergeCell ref="E44:L44"/>
    <mergeCell ref="K45:L45"/>
    <mergeCell ref="K46:L46"/>
    <mergeCell ref="K47:L47"/>
    <mergeCell ref="K48:L48"/>
    <mergeCell ref="K41:L4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4" t="s">
        <v>95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>
      <c r="A2" s="46"/>
      <c r="B2" s="47" t="s">
        <v>96</v>
      </c>
      <c r="C2" s="47" t="s">
        <v>97</v>
      </c>
      <c r="D2" s="47" t="s">
        <v>98</v>
      </c>
      <c r="E2" s="46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>
      <c r="A3" s="46"/>
      <c r="B3" s="48" t="s">
        <v>99</v>
      </c>
      <c r="C3" s="48">
        <v>25.0</v>
      </c>
      <c r="D3" s="48">
        <v>180.0</v>
      </c>
      <c r="E3" s="46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>
      <c r="A4" s="49">
        <v>2025.0</v>
      </c>
      <c r="B4" s="50"/>
      <c r="C4" s="50"/>
      <c r="D4" s="50"/>
      <c r="E4" s="46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>
      <c r="A5" s="46"/>
      <c r="B5" s="47" t="s">
        <v>0</v>
      </c>
      <c r="C5" s="47" t="s">
        <v>100</v>
      </c>
      <c r="D5" s="50"/>
      <c r="E5" s="46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>
      <c r="A6" s="46"/>
      <c r="B6" s="51">
        <v>45659.0</v>
      </c>
      <c r="C6" s="52">
        <v>136.0</v>
      </c>
      <c r="D6" s="50"/>
      <c r="E6" s="46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>
      <c r="A7" s="46"/>
      <c r="B7" s="51">
        <v>45812.0</v>
      </c>
      <c r="C7" s="52">
        <v>134.0</v>
      </c>
      <c r="D7" s="50"/>
      <c r="E7" s="46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>
      <c r="A8" s="46"/>
      <c r="B8" s="51">
        <v>45934.0</v>
      </c>
      <c r="C8" s="52">
        <v>130.0</v>
      </c>
      <c r="D8" s="50"/>
      <c r="E8" s="46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>
      <c r="A9" s="46"/>
      <c r="B9" s="52" t="s">
        <v>101</v>
      </c>
      <c r="C9" s="52">
        <v>111.9</v>
      </c>
      <c r="D9" s="50"/>
      <c r="E9" s="46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>
      <c r="A10" s="46"/>
      <c r="B10" s="51">
        <v>45696.0</v>
      </c>
      <c r="C10" s="52" t="s">
        <v>102</v>
      </c>
      <c r="D10" s="50"/>
      <c r="E10" s="46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>
      <c r="A11" s="46"/>
      <c r="B11" s="51">
        <v>45938.0</v>
      </c>
      <c r="C11" s="52">
        <v>105.9</v>
      </c>
      <c r="D11" s="50"/>
      <c r="E11" s="46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>
      <c r="A12" s="46"/>
      <c r="B12" s="52" t="s">
        <v>103</v>
      </c>
      <c r="C12" s="52">
        <v>102.6</v>
      </c>
      <c r="D12" s="50"/>
      <c r="E12" s="46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3">
      <c r="A13" s="46"/>
      <c r="B13" s="52" t="s">
        <v>104</v>
      </c>
      <c r="C13" s="52">
        <v>102.6</v>
      </c>
      <c r="D13" s="50"/>
      <c r="E13" s="46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</row>
    <row r="14">
      <c r="A14" s="44">
        <v>2025.0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6"/>
      <c r="Q14" s="46"/>
      <c r="R14" s="46"/>
      <c r="S14" s="45"/>
      <c r="T14" s="53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</row>
    <row r="15">
      <c r="A15" s="45"/>
      <c r="B15" s="47" t="s">
        <v>0</v>
      </c>
      <c r="C15" s="47" t="s">
        <v>100</v>
      </c>
      <c r="D15" s="47" t="s">
        <v>105</v>
      </c>
      <c r="E15" s="47" t="s">
        <v>106</v>
      </c>
      <c r="F15" s="47" t="s">
        <v>105</v>
      </c>
      <c r="G15" s="47" t="s">
        <v>107</v>
      </c>
      <c r="H15" s="47" t="s">
        <v>105</v>
      </c>
      <c r="I15" s="47" t="s">
        <v>108</v>
      </c>
      <c r="J15" s="47" t="s">
        <v>105</v>
      </c>
      <c r="K15" s="47" t="s">
        <v>109</v>
      </c>
      <c r="L15" s="47" t="s">
        <v>105</v>
      </c>
      <c r="M15" s="47" t="s">
        <v>110</v>
      </c>
      <c r="N15" s="47" t="s">
        <v>105</v>
      </c>
      <c r="O15" s="45"/>
      <c r="P15" s="54" t="s">
        <v>111</v>
      </c>
      <c r="Q15" s="55" t="s">
        <v>112</v>
      </c>
      <c r="R15" s="55" t="s">
        <v>113</v>
      </c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</row>
    <row r="16">
      <c r="A16" s="45"/>
      <c r="B16" s="56" t="s">
        <v>114</v>
      </c>
      <c r="C16" s="56">
        <v>97.3</v>
      </c>
      <c r="D16" s="57">
        <v>0.0</v>
      </c>
      <c r="E16" s="58">
        <v>107.0</v>
      </c>
      <c r="F16" s="57">
        <v>0.0</v>
      </c>
      <c r="G16" s="58">
        <v>101.0</v>
      </c>
      <c r="H16" s="57">
        <v>0.0</v>
      </c>
      <c r="I16" s="58">
        <v>37.0</v>
      </c>
      <c r="J16" s="57">
        <v>0.0</v>
      </c>
      <c r="K16" s="58">
        <v>64.0</v>
      </c>
      <c r="L16" s="57">
        <v>0.0</v>
      </c>
      <c r="M16" s="58">
        <v>46.0</v>
      </c>
      <c r="N16" s="57">
        <v>0.0</v>
      </c>
      <c r="O16" s="45"/>
      <c r="P16" s="59">
        <v>1.57</v>
      </c>
      <c r="Q16" s="60">
        <f t="shared" ref="Q16:Q20" si="1">IF(OR(C16=0, C16=""), "---", ROUND(C16 / (($D$3/100)^2), 2))
</f>
        <v>30.03</v>
      </c>
      <c r="R16" s="60">
        <f t="shared" ref="R16:R20" si="2">IF(OR(C16=0, C16=""), "---", ROUND(IF($B$3="mężczyzna", (10*C16 + 6.25*$D$3 - 5*$C$3 + 5)*$P$16, (10*C16 + 6.25*$D$3 - 5*$C$3 - 161)*$P$16), 0))</f>
        <v>3105</v>
      </c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</row>
    <row r="17">
      <c r="A17" s="45"/>
      <c r="B17" s="61">
        <v>45848.0</v>
      </c>
      <c r="C17" s="56">
        <v>95.3</v>
      </c>
      <c r="D17" s="57">
        <f t="shared" ref="D17:D20" si="3">C17-C16</f>
        <v>-2</v>
      </c>
      <c r="E17" s="56">
        <v>104.0</v>
      </c>
      <c r="F17" s="57">
        <f t="shared" ref="F17:F20" si="4">E17-E16</f>
        <v>-3</v>
      </c>
      <c r="G17" s="56">
        <v>99.0</v>
      </c>
      <c r="H17" s="57">
        <f t="shared" ref="H17:H20" si="5">G17-G16</f>
        <v>-2</v>
      </c>
      <c r="I17" s="56">
        <v>37.0</v>
      </c>
      <c r="J17" s="57">
        <f t="shared" ref="J17:J20" si="6">I17-I16</f>
        <v>0</v>
      </c>
      <c r="K17" s="56">
        <v>62.0</v>
      </c>
      <c r="L17" s="57">
        <f t="shared" ref="L17:L20" si="7">K17-K16</f>
        <v>-2</v>
      </c>
      <c r="M17" s="56">
        <v>45.0</v>
      </c>
      <c r="N17" s="57">
        <f t="shared" ref="N17:N20" si="8">M17-M16</f>
        <v>-1</v>
      </c>
      <c r="O17" s="45"/>
      <c r="P17" s="28"/>
      <c r="Q17" s="60">
        <f t="shared" si="1"/>
        <v>29.41</v>
      </c>
      <c r="R17" s="60">
        <f t="shared" si="2"/>
        <v>3074</v>
      </c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</row>
    <row r="18">
      <c r="A18" s="45"/>
      <c r="B18" s="56" t="s">
        <v>115</v>
      </c>
      <c r="C18" s="56">
        <v>94.5</v>
      </c>
      <c r="D18" s="57">
        <f t="shared" si="3"/>
        <v>-0.8</v>
      </c>
      <c r="E18" s="56">
        <v>104.0</v>
      </c>
      <c r="F18" s="57">
        <f t="shared" si="4"/>
        <v>0</v>
      </c>
      <c r="G18" s="56">
        <v>98.0</v>
      </c>
      <c r="H18" s="57">
        <f t="shared" si="5"/>
        <v>-1</v>
      </c>
      <c r="I18" s="56">
        <v>37.0</v>
      </c>
      <c r="J18" s="57">
        <f t="shared" si="6"/>
        <v>0</v>
      </c>
      <c r="K18" s="56">
        <v>61.0</v>
      </c>
      <c r="L18" s="57">
        <f t="shared" si="7"/>
        <v>-1</v>
      </c>
      <c r="M18" s="56">
        <v>45.0</v>
      </c>
      <c r="N18" s="57">
        <f t="shared" si="8"/>
        <v>0</v>
      </c>
      <c r="O18" s="45"/>
      <c r="P18" s="28"/>
      <c r="Q18" s="60">
        <f t="shared" si="1"/>
        <v>29.17</v>
      </c>
      <c r="R18" s="60">
        <f t="shared" si="2"/>
        <v>3062</v>
      </c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>
      <c r="A19" s="45"/>
      <c r="B19" s="56" t="s">
        <v>116</v>
      </c>
      <c r="C19" s="56">
        <v>94.0</v>
      </c>
      <c r="D19" s="57">
        <f t="shared" si="3"/>
        <v>-0.5</v>
      </c>
      <c r="E19" s="56">
        <v>103.0</v>
      </c>
      <c r="F19" s="57">
        <f t="shared" si="4"/>
        <v>-1</v>
      </c>
      <c r="G19" s="56">
        <v>97.0</v>
      </c>
      <c r="H19" s="57">
        <f t="shared" si="5"/>
        <v>-1</v>
      </c>
      <c r="I19" s="56">
        <v>36.0</v>
      </c>
      <c r="J19" s="57">
        <f t="shared" si="6"/>
        <v>-1</v>
      </c>
      <c r="K19" s="56">
        <v>60.0</v>
      </c>
      <c r="L19" s="57">
        <f t="shared" si="7"/>
        <v>-1</v>
      </c>
      <c r="M19" s="56">
        <v>45.0</v>
      </c>
      <c r="N19" s="57">
        <f t="shared" si="8"/>
        <v>0</v>
      </c>
      <c r="O19" s="45"/>
      <c r="P19" s="28"/>
      <c r="Q19" s="60">
        <f t="shared" si="1"/>
        <v>29.01</v>
      </c>
      <c r="R19" s="60">
        <f t="shared" si="2"/>
        <v>3054</v>
      </c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</row>
    <row r="20">
      <c r="A20" s="45"/>
      <c r="B20" s="56" t="s">
        <v>117</v>
      </c>
      <c r="C20" s="56">
        <v>94.3</v>
      </c>
      <c r="D20" s="57">
        <f t="shared" si="3"/>
        <v>0.3</v>
      </c>
      <c r="E20" s="56">
        <v>102.0</v>
      </c>
      <c r="F20" s="57">
        <f t="shared" si="4"/>
        <v>-1</v>
      </c>
      <c r="G20" s="56">
        <v>96.0</v>
      </c>
      <c r="H20" s="57">
        <f t="shared" si="5"/>
        <v>-1</v>
      </c>
      <c r="I20" s="56">
        <v>36.0</v>
      </c>
      <c r="J20" s="57">
        <f t="shared" si="6"/>
        <v>0</v>
      </c>
      <c r="K20" s="56">
        <v>60.0</v>
      </c>
      <c r="L20" s="57">
        <f t="shared" si="7"/>
        <v>0</v>
      </c>
      <c r="M20" s="56">
        <v>45.0</v>
      </c>
      <c r="N20" s="57">
        <f t="shared" si="8"/>
        <v>0</v>
      </c>
      <c r="O20" s="45"/>
      <c r="P20" s="30"/>
      <c r="Q20" s="60">
        <f t="shared" si="1"/>
        <v>29.1</v>
      </c>
      <c r="R20" s="60">
        <f t="shared" si="2"/>
        <v>3058</v>
      </c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</row>
    <row r="21">
      <c r="A21" s="45"/>
      <c r="B21" s="62" t="s">
        <v>118</v>
      </c>
      <c r="C21" s="63"/>
      <c r="D21" s="64">
        <f>IF(AND(ISNUMBER(C16), ISNUMBER(C20)), -(C16-C20), "---")
</f>
        <v>-3</v>
      </c>
      <c r="E21" s="63"/>
      <c r="F21" s="64">
        <f>IF(AND(ISNUMBER(E16), ISNUMBER(E20)), -(E16-E20), "---")
</f>
        <v>-5</v>
      </c>
      <c r="G21" s="63"/>
      <c r="H21" s="64">
        <f>IF(AND(ISNUMBER(G16), ISNUMBER(G20)), -(G16-G20), "---")
</f>
        <v>-5</v>
      </c>
      <c r="I21" s="63"/>
      <c r="J21" s="64">
        <f>IF(AND(ISNUMBER(I16), ISNUMBER(I20)), -(I16-I20), "---")
</f>
        <v>-1</v>
      </c>
      <c r="K21" s="63"/>
      <c r="L21" s="64">
        <f>IF(AND(ISNUMBER(K16), ISNUMBER(K20)), -(K16-K20), "---")
</f>
        <v>-4</v>
      </c>
      <c r="M21" s="63"/>
      <c r="N21" s="64">
        <f>IF(AND(ISNUMBER(M16), ISNUMBER(M20)), -(M16-M20), "---")
</f>
        <v>-1</v>
      </c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</row>
    <row r="22">
      <c r="A22" s="45"/>
      <c r="B22" s="61">
        <v>45727.0</v>
      </c>
      <c r="C22" s="56">
        <v>90.9</v>
      </c>
      <c r="D22" s="57">
        <f>IF(AND(ISNUMBER(C22), ISNUMBER(C20)), C22-C20, "")</f>
        <v>-3.4</v>
      </c>
      <c r="E22" s="56">
        <v>103.0</v>
      </c>
      <c r="F22" s="57">
        <f>IF(AND(ISNUMBER(E22), ISNUMBER(E20)), E22-E20, "")</f>
        <v>1</v>
      </c>
      <c r="G22" s="56">
        <v>95.0</v>
      </c>
      <c r="H22" s="57">
        <f>IF(AND(ISNUMBER(G22), ISNUMBER(G20)), G22-G20, "")</f>
        <v>-1</v>
      </c>
      <c r="I22" s="56">
        <v>36.0</v>
      </c>
      <c r="J22" s="57">
        <f>IF(AND(ISNUMBER(I22), ISNUMBER(I20)), I22-I20, "")</f>
        <v>0</v>
      </c>
      <c r="K22" s="56">
        <v>60.0</v>
      </c>
      <c r="L22" s="57">
        <f>IF(AND(ISNUMBER(K22), ISNUMBER(K20)), K22-K20, "")</f>
        <v>0</v>
      </c>
      <c r="M22" s="56">
        <v>45.0</v>
      </c>
      <c r="N22" s="57">
        <f>IF(AND(ISNUMBER(M22), ISNUMBER(M20)), M22-M20, "")</f>
        <v>0</v>
      </c>
      <c r="O22" s="45"/>
      <c r="P22" s="59">
        <v>1.57</v>
      </c>
      <c r="Q22" s="60">
        <f t="shared" ref="Q22:Q25" si="9">IF(OR(C22=0, C22=""), "---", ROUND(C22 / (($D$3/100)^2), 2))
</f>
        <v>28.06</v>
      </c>
      <c r="R22" s="60">
        <f>IF(OR(C22=0, C22=""), "---", ROUND(IF($B$3="mężczyzna", (10*C22 + 6.25*$D$3 - 5*$C$3 + 5)*P22, (10*C22 + 6.25*$D$3 - 5*$C$3 - 161)*P22), 0))</f>
        <v>3005</v>
      </c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</row>
    <row r="23">
      <c r="A23" s="45"/>
      <c r="B23" s="65">
        <v>45941.0</v>
      </c>
      <c r="C23" s="56">
        <v>89.7</v>
      </c>
      <c r="D23" s="57">
        <f t="shared" ref="D23:D25" si="10">IF(AND(ISNUMBER(C23), ISNUMBER(C22)), C23-C22, "")</f>
        <v>-1.2</v>
      </c>
      <c r="E23" s="56">
        <v>104.0</v>
      </c>
      <c r="F23" s="57">
        <f t="shared" ref="F23:F25" si="11">IF(AND(ISNUMBER(E23), ISNUMBER(E22)), E23-E22, "")</f>
        <v>1</v>
      </c>
      <c r="G23" s="56">
        <v>93.0</v>
      </c>
      <c r="H23" s="57">
        <f t="shared" ref="H23:H25" si="12">IF(AND(ISNUMBER(G23), ISNUMBER(G22)), G23-G22, "")</f>
        <v>-2</v>
      </c>
      <c r="I23" s="56">
        <v>36.0</v>
      </c>
      <c r="J23" s="57">
        <f t="shared" ref="J23:J25" si="13">IF(AND(ISNUMBER(I23), ISNUMBER(I22)), I23-I22, "")</f>
        <v>0</v>
      </c>
      <c r="K23" s="56">
        <v>59.0</v>
      </c>
      <c r="L23" s="57">
        <f t="shared" ref="L23:L25" si="14">IF(AND(ISNUMBER(K23), ISNUMBER(K22)), K23-K22, "")</f>
        <v>-1</v>
      </c>
      <c r="M23" s="56">
        <v>44.0</v>
      </c>
      <c r="N23" s="57">
        <f t="shared" ref="N23:N25" si="15">IF(AND(ISNUMBER(M23), ISNUMBER(M22)), M23-M22, "")</f>
        <v>-1</v>
      </c>
      <c r="O23" s="45"/>
      <c r="P23" s="28"/>
      <c r="Q23" s="60">
        <f t="shared" si="9"/>
        <v>27.69</v>
      </c>
      <c r="R23" s="60">
        <f>IF(OR(C23=0, C23=""), "---", ROUND(IF($B$3="mężczyzna", (10*C23 + 6.25*$D$3 - 5*$C$3 + 5)*P22, (10*C23 + 6.25*$D$3 - 5*$C$3 - 161)*P22), 0))</f>
        <v>2986</v>
      </c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</row>
    <row r="24">
      <c r="A24" s="45"/>
      <c r="B24" s="56" t="s">
        <v>119</v>
      </c>
      <c r="C24" s="56">
        <v>89.7</v>
      </c>
      <c r="D24" s="57">
        <f t="shared" si="10"/>
        <v>0</v>
      </c>
      <c r="E24" s="56">
        <v>104.0</v>
      </c>
      <c r="F24" s="57">
        <f t="shared" si="11"/>
        <v>0</v>
      </c>
      <c r="G24" s="56">
        <v>92.0</v>
      </c>
      <c r="H24" s="57">
        <f t="shared" si="12"/>
        <v>-1</v>
      </c>
      <c r="I24" s="56">
        <v>36.0</v>
      </c>
      <c r="J24" s="57">
        <f t="shared" si="13"/>
        <v>0</v>
      </c>
      <c r="K24" s="56">
        <v>58.0</v>
      </c>
      <c r="L24" s="57">
        <f t="shared" si="14"/>
        <v>-1</v>
      </c>
      <c r="M24" s="56">
        <v>44.0</v>
      </c>
      <c r="N24" s="57">
        <f t="shared" si="15"/>
        <v>0</v>
      </c>
      <c r="O24" s="45"/>
      <c r="P24" s="28"/>
      <c r="Q24" s="60">
        <f t="shared" si="9"/>
        <v>27.69</v>
      </c>
      <c r="R24" s="60">
        <f>IF(OR(C24=0, C24=""), "---", ROUND(IF($B$3="mężczyzna", (10*C24 + 6.25*$D$3 - 5*$C$3 + 5)*P22, (10*C24 + 6.25*$D$3 - 5*$C$3 - 161)*P22), 0))</f>
        <v>2986</v>
      </c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</row>
    <row r="25">
      <c r="A25" s="45"/>
      <c r="B25" s="56" t="s">
        <v>120</v>
      </c>
      <c r="C25" s="56">
        <v>88.2</v>
      </c>
      <c r="D25" s="57">
        <f t="shared" si="10"/>
        <v>-1.5</v>
      </c>
      <c r="E25" s="56">
        <v>104.0</v>
      </c>
      <c r="F25" s="57">
        <f t="shared" si="11"/>
        <v>0</v>
      </c>
      <c r="G25" s="56">
        <v>91.0</v>
      </c>
      <c r="H25" s="57">
        <f t="shared" si="12"/>
        <v>-1</v>
      </c>
      <c r="I25" s="56">
        <v>36.0</v>
      </c>
      <c r="J25" s="57">
        <f t="shared" si="13"/>
        <v>0</v>
      </c>
      <c r="K25" s="56">
        <v>58.0</v>
      </c>
      <c r="L25" s="57">
        <f t="shared" si="14"/>
        <v>0</v>
      </c>
      <c r="M25" s="56">
        <v>44.0</v>
      </c>
      <c r="N25" s="57">
        <f t="shared" si="15"/>
        <v>0</v>
      </c>
      <c r="O25" s="45"/>
      <c r="P25" s="30"/>
      <c r="Q25" s="60">
        <f t="shared" si="9"/>
        <v>27.22</v>
      </c>
      <c r="R25" s="60">
        <f>IF(OR(C25=0, C25=""), "---", ROUND(IF($B$3="mężczyzna", (10*C25 + 6.25*$D$3 - 5*$C$3 + 5)*P22, (10*C25 + 6.25*$D$3 - 5*$C$3 - 161)*P22), 0))</f>
        <v>2963</v>
      </c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</row>
    <row r="26">
      <c r="A26" s="45"/>
      <c r="B26" s="62" t="s">
        <v>118</v>
      </c>
      <c r="C26" s="63"/>
      <c r="D26" s="64">
        <f>IF(AND(ISNUMBER(C22), ISNUMBER(C25)), -(C22-C25), "---")
</f>
        <v>-2.7</v>
      </c>
      <c r="E26" s="63"/>
      <c r="F26" s="64">
        <f>IF(AND(ISNUMBER(E22), ISNUMBER(E25)), -(E22-E25), "---")
</f>
        <v>1</v>
      </c>
      <c r="G26" s="63"/>
      <c r="H26" s="64">
        <f>IF(AND(ISNUMBER(G22), ISNUMBER(G25)), -(G22-G25), "---")
</f>
        <v>-4</v>
      </c>
      <c r="I26" s="63"/>
      <c r="J26" s="64">
        <f>IF(AND(ISNUMBER(I22), ISNUMBER(I25)), -(I22-I25), "---")
</f>
        <v>0</v>
      </c>
      <c r="K26" s="63"/>
      <c r="L26" s="64">
        <f>IF(AND(ISNUMBER(K22), ISNUMBER(K25)), -(K22-K25), "---")
</f>
        <v>-2</v>
      </c>
      <c r="M26" s="63"/>
      <c r="N26" s="64">
        <f>IF(AND(ISNUMBER(M22), ISNUMBER(M25)), -(M22-M25), "---")
</f>
        <v>-1</v>
      </c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</row>
    <row r="27">
      <c r="A27" s="45"/>
      <c r="B27" s="61">
        <v>45669.0</v>
      </c>
      <c r="C27" s="56">
        <v>87.7</v>
      </c>
      <c r="D27" s="57">
        <f>IF(AND(ISNUMBER(C27), ISNUMBER(C25)), C27-C25, "")</f>
        <v>-0.5</v>
      </c>
      <c r="E27" s="56">
        <v>103.0</v>
      </c>
      <c r="F27" s="57">
        <f>IF(AND(ISNUMBER(E27), ISNUMBER(E25)), E27-E25, "")</f>
        <v>-1</v>
      </c>
      <c r="G27" s="56">
        <v>90.0</v>
      </c>
      <c r="H27" s="57">
        <f>IF(AND(ISNUMBER(G27), ISNUMBER(G25)), G27-G25, "")</f>
        <v>-1</v>
      </c>
      <c r="I27" s="56">
        <v>36.0</v>
      </c>
      <c r="J27" s="57">
        <f>IF(AND(ISNUMBER(I27), ISNUMBER(I25)), I27-I25, "")</f>
        <v>0</v>
      </c>
      <c r="K27" s="56">
        <v>58.0</v>
      </c>
      <c r="L27" s="57">
        <f>IF(AND(ISNUMBER(K27), ISNUMBER(K25)), K27-K25, "")</f>
        <v>0</v>
      </c>
      <c r="M27" s="56">
        <v>44.0</v>
      </c>
      <c r="N27" s="57">
        <f>IF(AND(ISNUMBER(M27), ISNUMBER(M25)), M27-M25, "")</f>
        <v>0</v>
      </c>
      <c r="O27" s="45"/>
      <c r="P27" s="59">
        <v>1.57</v>
      </c>
      <c r="Q27" s="60">
        <f t="shared" ref="Q27:Q31" si="16">IF(OR(C27=0, C27=""), "---", ROUND(C27 / (($D$3/100)^2), 2))
</f>
        <v>27.07</v>
      </c>
      <c r="R27" s="60">
        <f>IF(OR(C27=0, C27=""), "---", ROUND(IF($B$3="mężczyzna", (10*C27 + 6.25*$D$3 - 5*$C$3 + 5)*P27, (10*C27 + 6.25*$D$3 - 5*$C$3 - 161)*P27), 0))</f>
        <v>2955</v>
      </c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</row>
    <row r="28">
      <c r="A28" s="45"/>
      <c r="B28" s="61">
        <v>45881.0</v>
      </c>
      <c r="C28" s="56">
        <v>87.6</v>
      </c>
      <c r="D28" s="57">
        <f t="shared" ref="D28:D31" si="17">IF(AND(ISNUMBER(C28), ISNUMBER(C27)), C28-C27, "")</f>
        <v>-0.1</v>
      </c>
      <c r="E28" s="56">
        <v>102.0</v>
      </c>
      <c r="F28" s="57">
        <f t="shared" ref="F28:F31" si="18">IF(AND(ISNUMBER(E28), ISNUMBER(E27)), E28-E27, "")</f>
        <v>-1</v>
      </c>
      <c r="G28" s="56">
        <v>89.5</v>
      </c>
      <c r="H28" s="57">
        <f t="shared" ref="H28:H31" si="19">IF(AND(ISNUMBER(G28), ISNUMBER(G27)), G28-G27, "")</f>
        <v>-0.5</v>
      </c>
      <c r="I28" s="56">
        <v>36.0</v>
      </c>
      <c r="J28" s="57">
        <f t="shared" ref="J28:J31" si="20">IF(AND(ISNUMBER(I28), ISNUMBER(I27)), I28-I27, "")</f>
        <v>0</v>
      </c>
      <c r="K28" s="56">
        <v>58.0</v>
      </c>
      <c r="L28" s="57">
        <f t="shared" ref="L28:L31" si="21">IF(AND(ISNUMBER(K28), ISNUMBER(K27)), K28-K27, "")</f>
        <v>0</v>
      </c>
      <c r="M28" s="56">
        <v>43.0</v>
      </c>
      <c r="N28" s="57">
        <f t="shared" ref="N28:N31" si="22">IF(AND(ISNUMBER(M28), ISNUMBER(M27)), M28-M27, "")</f>
        <v>-1</v>
      </c>
      <c r="O28" s="45"/>
      <c r="P28" s="28"/>
      <c r="Q28" s="60">
        <f t="shared" si="16"/>
        <v>27.04</v>
      </c>
      <c r="R28" s="60">
        <f>IF(OR(C28=0, C28=""), "---", ROUND(IF($B$3="mężczyzna", (10*C28 + 6.25*$D$3 - 5*$C$3 + 5)*P27, (10*C28 + 6.25*$D$3 - 5*$C$3 - 161)*P27), 0))</f>
        <v>2953</v>
      </c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</row>
    <row r="29">
      <c r="A29" s="45"/>
      <c r="B29" s="52" t="s">
        <v>121</v>
      </c>
      <c r="C29" s="52">
        <v>86.6</v>
      </c>
      <c r="D29" s="57">
        <f t="shared" si="17"/>
        <v>-1</v>
      </c>
      <c r="E29" s="52">
        <v>103.0</v>
      </c>
      <c r="F29" s="57">
        <f t="shared" si="18"/>
        <v>1</v>
      </c>
      <c r="G29" s="52">
        <v>88.0</v>
      </c>
      <c r="H29" s="57">
        <f t="shared" si="19"/>
        <v>-1.5</v>
      </c>
      <c r="I29" s="52">
        <v>36.0</v>
      </c>
      <c r="J29" s="57">
        <f t="shared" si="20"/>
        <v>0</v>
      </c>
      <c r="K29" s="52">
        <v>58.0</v>
      </c>
      <c r="L29" s="57">
        <f t="shared" si="21"/>
        <v>0</v>
      </c>
      <c r="M29" s="52">
        <v>43.0</v>
      </c>
      <c r="N29" s="57">
        <f t="shared" si="22"/>
        <v>0</v>
      </c>
      <c r="O29" s="45"/>
      <c r="P29" s="28"/>
      <c r="Q29" s="60">
        <f t="shared" si="16"/>
        <v>26.73</v>
      </c>
      <c r="R29" s="60">
        <f>IF(OR(C29=0, C29=""), "---", ROUND(IF($B$3="mężczyzna", (10*C29 + 6.25*$D$3 - 5*$C$3 + 5)*P27, (10*C29 + 6.25*$D$3 - 5*$C$3 - 161)*P27), 0))</f>
        <v>2937</v>
      </c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</row>
    <row r="30">
      <c r="A30" s="45"/>
      <c r="B30" s="52" t="s">
        <v>122</v>
      </c>
      <c r="C30" s="52">
        <v>85.7</v>
      </c>
      <c r="D30" s="57">
        <f t="shared" si="17"/>
        <v>-0.9</v>
      </c>
      <c r="E30" s="52">
        <v>103.0</v>
      </c>
      <c r="F30" s="57">
        <f t="shared" si="18"/>
        <v>0</v>
      </c>
      <c r="G30" s="52">
        <v>88.0</v>
      </c>
      <c r="H30" s="57">
        <f t="shared" si="19"/>
        <v>0</v>
      </c>
      <c r="I30" s="52">
        <v>36.0</v>
      </c>
      <c r="J30" s="57">
        <f t="shared" si="20"/>
        <v>0</v>
      </c>
      <c r="K30" s="52">
        <v>58.0</v>
      </c>
      <c r="L30" s="57">
        <f t="shared" si="21"/>
        <v>0</v>
      </c>
      <c r="M30" s="52">
        <v>43.0</v>
      </c>
      <c r="N30" s="57">
        <f t="shared" si="22"/>
        <v>0</v>
      </c>
      <c r="O30" s="45"/>
      <c r="P30" s="28"/>
      <c r="Q30" s="60">
        <f t="shared" si="16"/>
        <v>26.45</v>
      </c>
      <c r="R30" s="60">
        <f>IF(OR(C30=0, C30=""), "---", ROUND(IF($B$3="mężczyzna", (10*C30 + 6.25*$D$3 - 5*$C$3 + 5)*P27, (10*C30 + 6.25*$D$3 - 5*$C$3 - 161)*P27), 0))</f>
        <v>2923</v>
      </c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</row>
    <row r="31">
      <c r="A31" s="45"/>
      <c r="B31" s="52" t="s">
        <v>123</v>
      </c>
      <c r="C31" s="52">
        <v>84.9</v>
      </c>
      <c r="D31" s="57">
        <f t="shared" si="17"/>
        <v>-0.8</v>
      </c>
      <c r="E31" s="52">
        <v>102.0</v>
      </c>
      <c r="F31" s="57">
        <f t="shared" si="18"/>
        <v>-1</v>
      </c>
      <c r="G31" s="52">
        <v>87.0</v>
      </c>
      <c r="H31" s="57">
        <f t="shared" si="19"/>
        <v>-1</v>
      </c>
      <c r="I31" s="52">
        <v>36.0</v>
      </c>
      <c r="J31" s="57">
        <f t="shared" si="20"/>
        <v>0</v>
      </c>
      <c r="K31" s="52">
        <v>58.0</v>
      </c>
      <c r="L31" s="57">
        <f t="shared" si="21"/>
        <v>0</v>
      </c>
      <c r="M31" s="52">
        <v>43.0</v>
      </c>
      <c r="N31" s="57">
        <f t="shared" si="22"/>
        <v>0</v>
      </c>
      <c r="O31" s="45"/>
      <c r="P31" s="30"/>
      <c r="Q31" s="60">
        <f t="shared" si="16"/>
        <v>26.2</v>
      </c>
      <c r="R31" s="60">
        <f>IF(OR(C31=0, C31=""), "---", ROUND(IF($B$3="mężczyzna", (10*C31 + 6.25*$D$3 - 5*$C$3 + 5)*P27, (10*C31 + 6.25*$D$3 - 5*$C$3 - 161)*P27), 0))</f>
        <v>2911</v>
      </c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>
      <c r="A32" s="45"/>
      <c r="B32" s="62" t="s">
        <v>118</v>
      </c>
      <c r="C32" s="63"/>
      <c r="D32" s="64">
        <f>IF(AND(ISNUMBER(C27), ISNUMBER(C30)), -(C27-C30), "---")
</f>
        <v>-2</v>
      </c>
      <c r="E32" s="63"/>
      <c r="F32" s="64">
        <f>IF(AND(ISNUMBER(E27), ISNUMBER(E30)), -(E27-E30), "---")
</f>
        <v>0</v>
      </c>
      <c r="G32" s="63"/>
      <c r="H32" s="64">
        <f>IF(AND(ISNUMBER(G27), ISNUMBER(G30)), -(G27-G30), "---")
</f>
        <v>-2</v>
      </c>
      <c r="I32" s="63"/>
      <c r="J32" s="64">
        <f>IF(AND(ISNUMBER(I27), ISNUMBER(I30)), -(I27-I30), "---")
</f>
        <v>0</v>
      </c>
      <c r="K32" s="63"/>
      <c r="L32" s="64">
        <f>IF(AND(ISNUMBER(K27), ISNUMBER(K30)), -(K27-K30), "---")
</f>
        <v>0</v>
      </c>
      <c r="M32" s="63"/>
      <c r="N32" s="64">
        <f>IF(AND(ISNUMBER(M27), ISNUMBER(M30)), -(M27-M30), "---")
</f>
        <v>-1</v>
      </c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</row>
    <row r="33">
      <c r="A33" s="44">
        <v>2026.0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</row>
    <row r="34">
      <c r="A34" s="45"/>
      <c r="B34" s="47" t="s">
        <v>0</v>
      </c>
      <c r="C34" s="47" t="s">
        <v>100</v>
      </c>
      <c r="D34" s="47" t="s">
        <v>105</v>
      </c>
      <c r="E34" s="47" t="s">
        <v>106</v>
      </c>
      <c r="F34" s="47" t="s">
        <v>105</v>
      </c>
      <c r="G34" s="47" t="s">
        <v>107</v>
      </c>
      <c r="H34" s="47" t="s">
        <v>105</v>
      </c>
      <c r="I34" s="47" t="s">
        <v>108</v>
      </c>
      <c r="J34" s="47" t="s">
        <v>105</v>
      </c>
      <c r="K34" s="47" t="s">
        <v>109</v>
      </c>
      <c r="L34" s="47" t="s">
        <v>105</v>
      </c>
      <c r="M34" s="47" t="s">
        <v>110</v>
      </c>
      <c r="N34" s="47" t="s">
        <v>105</v>
      </c>
      <c r="O34" s="45"/>
      <c r="P34" s="54" t="s">
        <v>111</v>
      </c>
      <c r="Q34" s="55" t="s">
        <v>112</v>
      </c>
      <c r="R34" s="55" t="s">
        <v>113</v>
      </c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</row>
    <row r="35">
      <c r="A35" s="45"/>
      <c r="B35" s="51">
        <v>46143.0</v>
      </c>
      <c r="C35" s="52">
        <v>85.7</v>
      </c>
      <c r="D35" s="66" t="str">
        <f>IF(AND(ISNUMBER(C35), ISNUMBER(C33)), C35-C33, "")</f>
        <v/>
      </c>
      <c r="E35" s="52">
        <v>100.0</v>
      </c>
      <c r="F35" s="66" t="str">
        <f>IF(AND(ISNUMBER(E35), ISNUMBER(E33)), E35-E33, "")</f>
        <v/>
      </c>
      <c r="G35" s="52">
        <v>86.0</v>
      </c>
      <c r="H35" s="66" t="str">
        <f>IF(AND(ISNUMBER(G35), ISNUMBER(G33)), G35-G33, "")</f>
        <v/>
      </c>
      <c r="I35" s="52">
        <v>36.0</v>
      </c>
      <c r="J35" s="66" t="str">
        <f>IF(AND(ISNUMBER(I35), ISNUMBER(I33)), I35-I33, "")</f>
        <v/>
      </c>
      <c r="K35" s="52">
        <v>58.0</v>
      </c>
      <c r="L35" s="66" t="str">
        <f>IF(AND(ISNUMBER(K35), ISNUMBER(K33)), K35-K33, "")</f>
        <v/>
      </c>
      <c r="M35" s="52">
        <v>43.0</v>
      </c>
      <c r="N35" s="66" t="str">
        <f>IF(AND(ISNUMBER(M35), ISNUMBER(M33)), M35-M33, "")</f>
        <v/>
      </c>
      <c r="O35" s="45"/>
      <c r="P35" s="67" t="s">
        <v>124</v>
      </c>
      <c r="Q35" s="60">
        <f t="shared" ref="Q35:Q38" si="23">IF(OR(C35=0, C35=""), "---", ROUND(C35 / (($D$3/100)^2), 2))
</f>
        <v>26.45</v>
      </c>
      <c r="R35" s="60" t="str">
        <f>IF(OR(C35=0, C35=""), "---", ROUND(IF($B$3="mężczyzna", (10*C35 + 6.25*$D$3 - 5*$C$3 + 5)*P35, (10*C35 + 6.25*$D$3 - 5*$C$3 - 161)*P35), 0))</f>
        <v>#VALUE!</v>
      </c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</row>
    <row r="36">
      <c r="A36" s="45"/>
      <c r="B36" s="52" t="s">
        <v>125</v>
      </c>
      <c r="C36" s="52">
        <v>87.8</v>
      </c>
      <c r="D36" s="66">
        <f t="shared" ref="D36:D38" si="24">IF(AND(ISNUMBER(C36), ISNUMBER(C35)), C36-C35, "")</f>
        <v>2.1</v>
      </c>
      <c r="E36" s="52">
        <v>101.0</v>
      </c>
      <c r="F36" s="66">
        <f t="shared" ref="F36:F38" si="25">IF(AND(ISNUMBER(E36), ISNUMBER(E35)), E36-E35, "")</f>
        <v>1</v>
      </c>
      <c r="G36" s="52">
        <v>86.0</v>
      </c>
      <c r="H36" s="66">
        <f t="shared" ref="H36:H38" si="26">IF(AND(ISNUMBER(G36), ISNUMBER(G35)), G36-G35, "")</f>
        <v>0</v>
      </c>
      <c r="I36" s="52">
        <v>36.0</v>
      </c>
      <c r="J36" s="66">
        <f t="shared" ref="J36:J38" si="27">IF(AND(ISNUMBER(I36), ISNUMBER(I35)), I36-I35, "")</f>
        <v>0</v>
      </c>
      <c r="K36" s="52">
        <v>58.5</v>
      </c>
      <c r="L36" s="66">
        <f t="shared" ref="L36:L38" si="28">IF(AND(ISNUMBER(K36), ISNUMBER(K35)), K36-K35, "")</f>
        <v>0.5</v>
      </c>
      <c r="M36" s="52">
        <v>43.5</v>
      </c>
      <c r="N36" s="66">
        <f t="shared" ref="N36:N38" si="29">IF(AND(ISNUMBER(M36), ISNUMBER(M35)), M36-M35, "")</f>
        <v>0.5</v>
      </c>
      <c r="O36" s="45"/>
      <c r="P36" s="28"/>
      <c r="Q36" s="60">
        <f t="shared" si="23"/>
        <v>27.1</v>
      </c>
      <c r="R36" s="60" t="str">
        <f>IF(OR(C36=0, C36=""), "---", ROUND(IF($B$3="mężczyzna", (10*C36 + 6.25*$D$3 - 5*$C$3 + 5)*P35, (10*C36 + 6.25*$D$3 - 5*$C$3 - 161)*P35), 0))</f>
        <v>#VALUE!</v>
      </c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</row>
    <row r="37">
      <c r="A37" s="45"/>
      <c r="B37" s="52" t="s">
        <v>126</v>
      </c>
      <c r="C37" s="52">
        <v>82.9</v>
      </c>
      <c r="D37" s="66">
        <f t="shared" si="24"/>
        <v>-4.9</v>
      </c>
      <c r="E37" s="52">
        <v>102.0</v>
      </c>
      <c r="F37" s="66">
        <f t="shared" si="25"/>
        <v>1</v>
      </c>
      <c r="G37" s="52">
        <v>85.0</v>
      </c>
      <c r="H37" s="66">
        <f t="shared" si="26"/>
        <v>-1</v>
      </c>
      <c r="I37" s="52">
        <v>36.0</v>
      </c>
      <c r="J37" s="66">
        <f t="shared" si="27"/>
        <v>0</v>
      </c>
      <c r="K37" s="52">
        <v>58.0</v>
      </c>
      <c r="L37" s="66">
        <f t="shared" si="28"/>
        <v>-0.5</v>
      </c>
      <c r="M37" s="52">
        <v>43.0</v>
      </c>
      <c r="N37" s="66">
        <f t="shared" si="29"/>
        <v>-0.5</v>
      </c>
      <c r="O37" s="45"/>
      <c r="P37" s="28"/>
      <c r="Q37" s="60">
        <f t="shared" si="23"/>
        <v>25.59</v>
      </c>
      <c r="R37" s="60" t="str">
        <f>IF(OR(C37=0, C37=""), "---", ROUND(IF($B$3="mężczyzna", (10*C37 + 6.25*$D$3 - 5*$C$3 + 5)*P35, (10*C37 + 6.25*$D$3 - 5*$C$3 - 161)*P35), 0))</f>
        <v>#VALUE!</v>
      </c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</row>
    <row r="38">
      <c r="A38" s="45"/>
      <c r="B38" s="51">
        <v>46055.0</v>
      </c>
      <c r="C38" s="52">
        <v>82.4</v>
      </c>
      <c r="D38" s="66">
        <f t="shared" si="24"/>
        <v>-0.5</v>
      </c>
      <c r="E38" s="52">
        <v>101.0</v>
      </c>
      <c r="F38" s="66">
        <f t="shared" si="25"/>
        <v>-1</v>
      </c>
      <c r="G38" s="52">
        <v>86.0</v>
      </c>
      <c r="H38" s="66">
        <f t="shared" si="26"/>
        <v>1</v>
      </c>
      <c r="I38" s="52">
        <v>35.0</v>
      </c>
      <c r="J38" s="66">
        <f t="shared" si="27"/>
        <v>-1</v>
      </c>
      <c r="K38" s="52">
        <v>57.0</v>
      </c>
      <c r="L38" s="66">
        <f t="shared" si="28"/>
        <v>-1</v>
      </c>
      <c r="M38" s="52">
        <v>43.5</v>
      </c>
      <c r="N38" s="66">
        <f t="shared" si="29"/>
        <v>0.5</v>
      </c>
      <c r="O38" s="45"/>
      <c r="P38" s="30"/>
      <c r="Q38" s="60">
        <f t="shared" si="23"/>
        <v>25.43</v>
      </c>
      <c r="R38" s="60" t="str">
        <f>IF(OR(C38=0, C38=""), "---", ROUND(IF($B$3="mężczyzna", (10*C38 + 6.25*$D$3 - 5*$C$3 + 5)*P35, (10*C38 + 6.25*$D$3 - 5*$C$3 - 161)*P35), 0))</f>
        <v>#VALUE!</v>
      </c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</row>
    <row r="39">
      <c r="A39" s="45"/>
      <c r="B39" s="62" t="s">
        <v>118</v>
      </c>
      <c r="C39" s="68"/>
      <c r="D39" s="62">
        <f>IF(AND(ISNUMBER(C35), ISNUMBER(C38)), -(C35-C38), "---")
</f>
        <v>-3.3</v>
      </c>
      <c r="E39" s="68"/>
      <c r="F39" s="62">
        <f>IF(AND(ISNUMBER(E35), ISNUMBER(E38)), -(E35-E38), "---")
</f>
        <v>1</v>
      </c>
      <c r="G39" s="68"/>
      <c r="H39" s="62">
        <f>IF(AND(ISNUMBER(G35), ISNUMBER(G38)), -(G35-G38), "---")
</f>
        <v>0</v>
      </c>
      <c r="I39" s="68"/>
      <c r="J39" s="62">
        <f>IF(AND(ISNUMBER(I35), ISNUMBER(I38)), -(I35-I38), "---")
</f>
        <v>-1</v>
      </c>
      <c r="K39" s="68"/>
      <c r="L39" s="62">
        <f>IF(AND(ISNUMBER(K35), ISNUMBER(K38)), -(K35-K38), "---")
</f>
        <v>-1</v>
      </c>
      <c r="M39" s="68"/>
      <c r="N39" s="62">
        <f>IF(AND(ISNUMBER(M35), ISNUMBER(M38)), -(M35-M38), "---")
</f>
        <v>0.5</v>
      </c>
      <c r="O39" s="45"/>
      <c r="P39" s="45"/>
      <c r="Q39" s="69"/>
      <c r="R39" s="69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</row>
    <row r="40">
      <c r="A40" s="45"/>
      <c r="B40" s="51">
        <v>46267.0</v>
      </c>
      <c r="C40" s="52">
        <v>81.9</v>
      </c>
      <c r="D40" s="66">
        <f>IF(AND(ISNUMBER(C40), ISNUMBER(C38)), C40-C38, "")</f>
        <v>-0.5</v>
      </c>
      <c r="E40" s="52">
        <v>101.0</v>
      </c>
      <c r="F40" s="66">
        <f>IF(AND(ISNUMBER(E40), ISNUMBER(E38)), E40-E38, "")</f>
        <v>0</v>
      </c>
      <c r="G40" s="52">
        <v>84.0</v>
      </c>
      <c r="H40" s="66">
        <f>IF(AND(ISNUMBER(G40), ISNUMBER(G38)), G40-G38, "")</f>
        <v>-2</v>
      </c>
      <c r="I40" s="52">
        <v>35.0</v>
      </c>
      <c r="J40" s="66">
        <f>IF(AND(ISNUMBER(I40), ISNUMBER(I38)), I40-I38, "")</f>
        <v>0</v>
      </c>
      <c r="K40" s="52">
        <v>58.0</v>
      </c>
      <c r="L40" s="66">
        <f>IF(AND(ISNUMBER(K40), ISNUMBER(K38)), K40-K38, "")</f>
        <v>1</v>
      </c>
      <c r="M40" s="52">
        <v>43.0</v>
      </c>
      <c r="N40" s="66">
        <f>IF(AND(ISNUMBER(M40), ISNUMBER(M38)), M40-M38, "")</f>
        <v>-0.5</v>
      </c>
      <c r="O40" s="45"/>
      <c r="P40" s="67" t="s">
        <v>124</v>
      </c>
      <c r="Q40" s="60">
        <f t="shared" ref="Q40:Q43" si="30">IF(OR(C40=0, C40=""), "---", ROUND(C40 / (($D$3/100)^2), 2))
</f>
        <v>25.28</v>
      </c>
      <c r="R40" s="60" t="str">
        <f>IF(OR(C40=0, C40=""), "---", ROUND(IF($B$3="mężczyzna", (10*C40 + 6.25*$D$3 - 5*$C$3 + 5)*P40, (10*C40 + 6.25*$D$3 - 5*$C$3 - 161)*P40), 0))</f>
        <v>#VALUE!</v>
      </c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</row>
    <row r="41">
      <c r="A41" s="45"/>
      <c r="B41" s="56"/>
      <c r="C41" s="56"/>
      <c r="D41" s="66" t="str">
        <f t="shared" ref="D41:D43" si="31">IF(AND(ISNUMBER(C41), ISNUMBER(C40)), C41-C40, "")</f>
        <v/>
      </c>
      <c r="E41" s="56"/>
      <c r="F41" s="66" t="str">
        <f t="shared" ref="F41:F43" si="32">IF(AND(ISNUMBER(E41), ISNUMBER(E40)), E41-E40, "")</f>
        <v/>
      </c>
      <c r="G41" s="56"/>
      <c r="H41" s="66" t="str">
        <f t="shared" ref="H41:H43" si="33">IF(AND(ISNUMBER(G41), ISNUMBER(G40)), G41-G40, "")</f>
        <v/>
      </c>
      <c r="I41" s="56"/>
      <c r="J41" s="66" t="str">
        <f t="shared" ref="J41:J43" si="34">IF(AND(ISNUMBER(I41), ISNUMBER(I40)), I41-I40, "")</f>
        <v/>
      </c>
      <c r="K41" s="56"/>
      <c r="L41" s="66" t="str">
        <f t="shared" ref="L41:L43" si="35">IF(AND(ISNUMBER(K41), ISNUMBER(K40)), K41-K40, "")</f>
        <v/>
      </c>
      <c r="M41" s="56"/>
      <c r="N41" s="66" t="str">
        <f t="shared" ref="N41:N43" si="36">IF(AND(ISNUMBER(M41), ISNUMBER(M40)), M41-M40, "")</f>
        <v/>
      </c>
      <c r="O41" s="45"/>
      <c r="P41" s="28"/>
      <c r="Q41" s="60" t="str">
        <f t="shared" si="30"/>
        <v>---</v>
      </c>
      <c r="R41" s="60" t="str">
        <f>IF(OR(C41=0, C41=""), "---", ROUND(IF($B$3="mężczyzna", (10*C41 + 6.25*$D$3 - 5*$C$3 + 5)*P40, (10*C41 + 6.25*$D$3 - 5*$C$3 - 161)*P40), 0))</f>
        <v>---</v>
      </c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</row>
    <row r="42">
      <c r="A42" s="45"/>
      <c r="B42" s="56"/>
      <c r="C42" s="56"/>
      <c r="D42" s="66" t="str">
        <f t="shared" si="31"/>
        <v/>
      </c>
      <c r="E42" s="56"/>
      <c r="F42" s="66" t="str">
        <f t="shared" si="32"/>
        <v/>
      </c>
      <c r="G42" s="56"/>
      <c r="H42" s="66" t="str">
        <f t="shared" si="33"/>
        <v/>
      </c>
      <c r="I42" s="56"/>
      <c r="J42" s="66" t="str">
        <f t="shared" si="34"/>
        <v/>
      </c>
      <c r="K42" s="56"/>
      <c r="L42" s="66" t="str">
        <f t="shared" si="35"/>
        <v/>
      </c>
      <c r="M42" s="56"/>
      <c r="N42" s="66" t="str">
        <f t="shared" si="36"/>
        <v/>
      </c>
      <c r="O42" s="45"/>
      <c r="P42" s="28"/>
      <c r="Q42" s="60" t="str">
        <f t="shared" si="30"/>
        <v>---</v>
      </c>
      <c r="R42" s="60" t="str">
        <f>IF(OR(C42=0, C42=""), "---", ROUND(IF($B$3="mężczyzna", (10*C42 + 6.25*$D$3 - 5*$C$3 + 5)*P40, (10*C42 + 6.25*$D$3 - 5*$C$3 - 161)*P40), 0))</f>
        <v>---</v>
      </c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</row>
    <row r="43">
      <c r="A43" s="45"/>
      <c r="B43" s="56"/>
      <c r="C43" s="56"/>
      <c r="D43" s="66" t="str">
        <f t="shared" si="31"/>
        <v/>
      </c>
      <c r="E43" s="56"/>
      <c r="F43" s="66" t="str">
        <f t="shared" si="32"/>
        <v/>
      </c>
      <c r="G43" s="56"/>
      <c r="H43" s="66" t="str">
        <f t="shared" si="33"/>
        <v/>
      </c>
      <c r="I43" s="56"/>
      <c r="J43" s="66" t="str">
        <f t="shared" si="34"/>
        <v/>
      </c>
      <c r="K43" s="56"/>
      <c r="L43" s="66" t="str">
        <f t="shared" si="35"/>
        <v/>
      </c>
      <c r="M43" s="56"/>
      <c r="N43" s="66" t="str">
        <f t="shared" si="36"/>
        <v/>
      </c>
      <c r="O43" s="45"/>
      <c r="P43" s="30"/>
      <c r="Q43" s="60" t="str">
        <f t="shared" si="30"/>
        <v>---</v>
      </c>
      <c r="R43" s="60" t="str">
        <f>IF(OR(C43=0, C43=""), "---", ROUND(IF($B$3="mężczyzna", (10*C43 + 6.25*$D$3 - 5*$C$3 + 5)*P40, (10*C43 + 6.25*$D$3 - 5*$C$3 - 161)*P40), 0))</f>
        <v>---</v>
      </c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</row>
    <row r="44">
      <c r="A44" s="45"/>
      <c r="B44" s="62" t="s">
        <v>118</v>
      </c>
      <c r="C44" s="68"/>
      <c r="D44" s="62" t="str">
        <f>IF(AND(ISNUMBER(C40), ISNUMBER(C43)), -(C40-C43), "---")
</f>
        <v>---</v>
      </c>
      <c r="E44" s="68"/>
      <c r="F44" s="62" t="str">
        <f>IF(AND(ISNUMBER(E40), ISNUMBER(E43)), -(E40-E43), "---")
</f>
        <v>---</v>
      </c>
      <c r="G44" s="68"/>
      <c r="H44" s="62" t="str">
        <f>IF(AND(ISNUMBER(G40), ISNUMBER(G43)), -(G40-G43), "---")
</f>
        <v>---</v>
      </c>
      <c r="I44" s="68"/>
      <c r="J44" s="62" t="str">
        <f>IF(AND(ISNUMBER(I40), ISNUMBER(I43)), -(I40-I43), "---")
</f>
        <v>---</v>
      </c>
      <c r="K44" s="68"/>
      <c r="L44" s="62" t="str">
        <f>IF(AND(ISNUMBER(K40), ISNUMBER(K43)), -(K40-K43), "---")
</f>
        <v>---</v>
      </c>
      <c r="M44" s="68"/>
      <c r="N44" s="62" t="str">
        <f>IF(AND(ISNUMBER(M40), ISNUMBER(M43)), -(M40-M43), "---")
</f>
        <v>---</v>
      </c>
      <c r="O44" s="45"/>
      <c r="P44" s="45"/>
      <c r="Q44" s="69"/>
      <c r="R44" s="69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</row>
    <row r="45">
      <c r="A45" s="45"/>
      <c r="B45" s="61"/>
      <c r="C45" s="56"/>
      <c r="D45" s="66" t="str">
        <f>IF(AND(ISNUMBER(C45), ISNUMBER(C43)), C45-C43, "")</f>
        <v/>
      </c>
      <c r="E45" s="56"/>
      <c r="F45" s="66" t="str">
        <f>IF(AND(ISNUMBER(E45), ISNUMBER(E43)), E45-E43, "")</f>
        <v/>
      </c>
      <c r="G45" s="56"/>
      <c r="H45" s="66" t="str">
        <f>IF(AND(ISNUMBER(G45), ISNUMBER(G43)), G45-G43, "")</f>
        <v/>
      </c>
      <c r="I45" s="56"/>
      <c r="J45" s="66" t="str">
        <f>IF(AND(ISNUMBER(I45), ISNUMBER(I43)), I45-I43, "")</f>
        <v/>
      </c>
      <c r="K45" s="56"/>
      <c r="L45" s="66" t="str">
        <f>IF(AND(ISNUMBER(K45), ISNUMBER(K43)), K45-K43, "")</f>
        <v/>
      </c>
      <c r="M45" s="56"/>
      <c r="N45" s="66" t="str">
        <f>IF(AND(ISNUMBER(M45), ISNUMBER(M43)), M45-M43, "")</f>
        <v/>
      </c>
      <c r="O45" s="45"/>
      <c r="P45" s="67" t="s">
        <v>124</v>
      </c>
      <c r="Q45" s="60" t="str">
        <f t="shared" ref="Q45:Q48" si="37">IF(OR(C45=0, C45=""), "---", ROUND(C45 / (($D$3/100)^2), 2))
</f>
        <v>---</v>
      </c>
      <c r="R45" s="60" t="str">
        <f>IF(OR(C45=0, C45=""), "---", ROUND(IF($B$3="mężczyzna", (10*C45 + 6.25*$D$3 - 5*$C$3 + 5)*P45, (10*C45 + 6.25*$D$3 - 5*$C$3 - 161)*P45), 0))</f>
        <v>---</v>
      </c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</row>
    <row r="46">
      <c r="A46" s="45"/>
      <c r="B46" s="56"/>
      <c r="C46" s="56"/>
      <c r="D46" s="66" t="str">
        <f t="shared" ref="D46:D48" si="38">IF(AND(ISNUMBER(C46), ISNUMBER(C45)), C46-C45, "")</f>
        <v/>
      </c>
      <c r="E46" s="56"/>
      <c r="F46" s="66" t="str">
        <f t="shared" ref="F46:F48" si="39">IF(AND(ISNUMBER(E46), ISNUMBER(E45)), E46-E45, "")</f>
        <v/>
      </c>
      <c r="G46" s="56"/>
      <c r="H46" s="66" t="str">
        <f t="shared" ref="H46:H48" si="40">IF(AND(ISNUMBER(G46), ISNUMBER(G45)), G46-G45, "")</f>
        <v/>
      </c>
      <c r="I46" s="56"/>
      <c r="J46" s="66" t="str">
        <f t="shared" ref="J46:J48" si="41">IF(AND(ISNUMBER(I46), ISNUMBER(I45)), I46-I45, "")</f>
        <v/>
      </c>
      <c r="K46" s="56"/>
      <c r="L46" s="66" t="str">
        <f t="shared" ref="L46:L48" si="42">IF(AND(ISNUMBER(K46), ISNUMBER(K45)), K46-K45, "")</f>
        <v/>
      </c>
      <c r="M46" s="56"/>
      <c r="N46" s="66" t="str">
        <f t="shared" ref="N46:N48" si="43">IF(AND(ISNUMBER(M46), ISNUMBER(M45)), M46-M45, "")</f>
        <v/>
      </c>
      <c r="O46" s="45"/>
      <c r="P46" s="28"/>
      <c r="Q46" s="60" t="str">
        <f t="shared" si="37"/>
        <v>---</v>
      </c>
      <c r="R46" s="60" t="str">
        <f>IF(OR(C46=0, C46=""), "---", ROUND(IF($B$3="mężczyzna", (10*C46 + 6.25*$D$3 - 5*$C$3 + 5)*P45, (10*C46 + 6.25*$D$3 - 5*$C$3 - 161)*P45), 0))</f>
        <v>---</v>
      </c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</row>
    <row r="47">
      <c r="A47" s="45"/>
      <c r="B47" s="56"/>
      <c r="C47" s="56"/>
      <c r="D47" s="66" t="str">
        <f t="shared" si="38"/>
        <v/>
      </c>
      <c r="E47" s="56"/>
      <c r="F47" s="66" t="str">
        <f t="shared" si="39"/>
        <v/>
      </c>
      <c r="G47" s="56"/>
      <c r="H47" s="66" t="str">
        <f t="shared" si="40"/>
        <v/>
      </c>
      <c r="I47" s="56"/>
      <c r="J47" s="66" t="str">
        <f t="shared" si="41"/>
        <v/>
      </c>
      <c r="K47" s="56"/>
      <c r="L47" s="66" t="str">
        <f t="shared" si="42"/>
        <v/>
      </c>
      <c r="M47" s="56"/>
      <c r="N47" s="66" t="str">
        <f t="shared" si="43"/>
        <v/>
      </c>
      <c r="O47" s="45"/>
      <c r="P47" s="28"/>
      <c r="Q47" s="60" t="str">
        <f t="shared" si="37"/>
        <v>---</v>
      </c>
      <c r="R47" s="60" t="str">
        <f>IF(OR(C47=0, C47=""), "---", ROUND(IF($B$3="mężczyzna", (10*C47 + 6.25*$D$3 - 5*$C$3 + 5)*P45, (10*C47 + 6.25*$D$3 - 5*$C$3 - 161)*P45), 0))</f>
        <v>---</v>
      </c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</row>
    <row r="48">
      <c r="A48" s="45"/>
      <c r="B48" s="56"/>
      <c r="C48" s="56"/>
      <c r="D48" s="66" t="str">
        <f t="shared" si="38"/>
        <v/>
      </c>
      <c r="E48" s="56"/>
      <c r="F48" s="66" t="str">
        <f t="shared" si="39"/>
        <v/>
      </c>
      <c r="G48" s="56"/>
      <c r="H48" s="66" t="str">
        <f t="shared" si="40"/>
        <v/>
      </c>
      <c r="I48" s="56"/>
      <c r="J48" s="66" t="str">
        <f t="shared" si="41"/>
        <v/>
      </c>
      <c r="K48" s="56"/>
      <c r="L48" s="66" t="str">
        <f t="shared" si="42"/>
        <v/>
      </c>
      <c r="M48" s="56"/>
      <c r="N48" s="66" t="str">
        <f t="shared" si="43"/>
        <v/>
      </c>
      <c r="O48" s="45"/>
      <c r="P48" s="30"/>
      <c r="Q48" s="60" t="str">
        <f t="shared" si="37"/>
        <v>---</v>
      </c>
      <c r="R48" s="60" t="str">
        <f>IF(OR(C48=0, C48=""), "---", ROUND(IF($B$3="mężczyzna", (10*C48 + 6.25*$D$3 - 5*$C$3 + 5)*P45, (10*C48 + 6.25*$D$3 - 5*$C$3 - 161)*P45), 0))</f>
        <v>---</v>
      </c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</row>
    <row r="49">
      <c r="A49" s="45"/>
      <c r="B49" s="62" t="s">
        <v>118</v>
      </c>
      <c r="C49" s="68"/>
      <c r="D49" s="62" t="str">
        <f>IF(AND(ISNUMBER(C45), ISNUMBER(C48)), -(C45-C48), "---")
</f>
        <v>---</v>
      </c>
      <c r="E49" s="68"/>
      <c r="F49" s="62" t="str">
        <f>IF(AND(ISNUMBER(E45), ISNUMBER(E48)), -(E45-E48), "---")
</f>
        <v>---</v>
      </c>
      <c r="G49" s="68"/>
      <c r="H49" s="62" t="str">
        <f>IF(AND(ISNUMBER(G45), ISNUMBER(G48)), -(G45-G48), "---")
</f>
        <v>---</v>
      </c>
      <c r="I49" s="68"/>
      <c r="J49" s="62" t="str">
        <f>IF(AND(ISNUMBER(I45), ISNUMBER(I48)), -(I45-I48), "---")
</f>
        <v>---</v>
      </c>
      <c r="K49" s="68"/>
      <c r="L49" s="62" t="str">
        <f>IF(AND(ISNUMBER(K45), ISNUMBER(K48)), -(K45-K48), "---")
</f>
        <v>---</v>
      </c>
      <c r="M49" s="68"/>
      <c r="N49" s="62" t="str">
        <f>IF(AND(ISNUMBER(M45), ISNUMBER(M48)), -(M45-M48), "---")
</f>
        <v>---</v>
      </c>
      <c r="O49" s="45"/>
      <c r="P49" s="45"/>
      <c r="Q49" s="69"/>
      <c r="R49" s="69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</row>
    <row r="50">
      <c r="A50" s="45"/>
      <c r="B50" s="61"/>
      <c r="C50" s="56"/>
      <c r="D50" s="66" t="str">
        <f>IF(AND(ISNUMBER(C50), ISNUMBER(C48)), C50-C48, "")</f>
        <v/>
      </c>
      <c r="E50" s="56"/>
      <c r="F50" s="66" t="str">
        <f>IF(AND(ISNUMBER(E50), ISNUMBER(E48)), E50-E48, "")</f>
        <v/>
      </c>
      <c r="G50" s="56"/>
      <c r="H50" s="66" t="str">
        <f>IF(AND(ISNUMBER(G50), ISNUMBER(G48)), G50-G48, "")</f>
        <v/>
      </c>
      <c r="I50" s="56"/>
      <c r="J50" s="66" t="str">
        <f>IF(AND(ISNUMBER(I50), ISNUMBER(I48)), I50-I48, "")</f>
        <v/>
      </c>
      <c r="K50" s="56"/>
      <c r="L50" s="66" t="str">
        <f>IF(AND(ISNUMBER(K50), ISNUMBER(K48)), K50-K48, "")</f>
        <v/>
      </c>
      <c r="M50" s="56"/>
      <c r="N50" s="66" t="str">
        <f>IF(AND(ISNUMBER(M50), ISNUMBER(M48)), M50-M48, "")</f>
        <v/>
      </c>
      <c r="O50" s="45"/>
      <c r="P50" s="67" t="s">
        <v>124</v>
      </c>
      <c r="Q50" s="60" t="str">
        <f t="shared" ref="Q50:Q53" si="44">IF(OR(C50=0, C50=""), "---", ROUND(C50 / (($D$3/100)^2), 2))
</f>
        <v>---</v>
      </c>
      <c r="R50" s="60" t="str">
        <f>IF(OR(C50=0, C50=""), "---", ROUND(IF($B$3="mężczyzna", (10*C50 + 6.25*$D$3 - 5*$C$3 + 5)*P50, (10*C50 + 6.25*$D$3 - 5*$C$3 - 161)*P50), 0))</f>
        <v>---</v>
      </c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</row>
    <row r="51">
      <c r="A51" s="45"/>
      <c r="B51" s="56"/>
      <c r="C51" s="56"/>
      <c r="D51" s="66" t="str">
        <f t="shared" ref="D51:D53" si="45">IF(AND(ISNUMBER(C51), ISNUMBER(C50)), C51-C50, "")</f>
        <v/>
      </c>
      <c r="E51" s="56"/>
      <c r="F51" s="66" t="str">
        <f t="shared" ref="F51:F53" si="46">IF(AND(ISNUMBER(E51), ISNUMBER(E50)), E51-E50, "")</f>
        <v/>
      </c>
      <c r="G51" s="56"/>
      <c r="H51" s="66" t="str">
        <f t="shared" ref="H51:H53" si="47">IF(AND(ISNUMBER(G51), ISNUMBER(G50)), G51-G50, "")</f>
        <v/>
      </c>
      <c r="I51" s="56"/>
      <c r="J51" s="66" t="str">
        <f t="shared" ref="J51:J53" si="48">IF(AND(ISNUMBER(I51), ISNUMBER(I50)), I51-I50, "")</f>
        <v/>
      </c>
      <c r="K51" s="56"/>
      <c r="L51" s="66" t="str">
        <f t="shared" ref="L51:L53" si="49">IF(AND(ISNUMBER(K51), ISNUMBER(K50)), K51-K50, "")</f>
        <v/>
      </c>
      <c r="M51" s="56"/>
      <c r="N51" s="66" t="str">
        <f t="shared" ref="N51:N53" si="50">IF(AND(ISNUMBER(M51), ISNUMBER(M50)), M51-M50, "")</f>
        <v/>
      </c>
      <c r="O51" s="45"/>
      <c r="P51" s="28"/>
      <c r="Q51" s="60" t="str">
        <f t="shared" si="44"/>
        <v>---</v>
      </c>
      <c r="R51" s="60" t="str">
        <f>IF(OR(C51=0, C51=""), "---", ROUND(IF($B$3="mężczyzna", (10*C51 + 6.25*$D$3 - 5*$C$3 + 5)*P50, (10*C51 + 6.25*$D$3 - 5*$C$3 - 161)*P50), 0))</f>
        <v>---</v>
      </c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</row>
    <row r="52">
      <c r="A52" s="45"/>
      <c r="B52" s="56"/>
      <c r="C52" s="56"/>
      <c r="D52" s="66" t="str">
        <f t="shared" si="45"/>
        <v/>
      </c>
      <c r="E52" s="56"/>
      <c r="F52" s="66" t="str">
        <f t="shared" si="46"/>
        <v/>
      </c>
      <c r="G52" s="56"/>
      <c r="H52" s="66" t="str">
        <f t="shared" si="47"/>
        <v/>
      </c>
      <c r="I52" s="56"/>
      <c r="J52" s="66" t="str">
        <f t="shared" si="48"/>
        <v/>
      </c>
      <c r="K52" s="56"/>
      <c r="L52" s="66" t="str">
        <f t="shared" si="49"/>
        <v/>
      </c>
      <c r="M52" s="56"/>
      <c r="N52" s="66" t="str">
        <f t="shared" si="50"/>
        <v/>
      </c>
      <c r="O52" s="45"/>
      <c r="P52" s="28"/>
      <c r="Q52" s="60" t="str">
        <f t="shared" si="44"/>
        <v>---</v>
      </c>
      <c r="R52" s="60" t="str">
        <f>IF(OR(C52=0, C52=""), "---", ROUND(IF($B$3="mężczyzna", (10*C52 + 6.25*$D$3 - 5*$C$3 + 5)*P50, (10*C52 + 6.25*$D$3 - 5*$C$3 - 161)*P50), 0))</f>
        <v>---</v>
      </c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</row>
    <row r="53">
      <c r="A53" s="45"/>
      <c r="B53" s="56"/>
      <c r="C53" s="56"/>
      <c r="D53" s="66" t="str">
        <f t="shared" si="45"/>
        <v/>
      </c>
      <c r="E53" s="56"/>
      <c r="F53" s="66" t="str">
        <f t="shared" si="46"/>
        <v/>
      </c>
      <c r="G53" s="56"/>
      <c r="H53" s="66" t="str">
        <f t="shared" si="47"/>
        <v/>
      </c>
      <c r="I53" s="56"/>
      <c r="J53" s="66" t="str">
        <f t="shared" si="48"/>
        <v/>
      </c>
      <c r="K53" s="56"/>
      <c r="L53" s="66" t="str">
        <f t="shared" si="49"/>
        <v/>
      </c>
      <c r="M53" s="56"/>
      <c r="N53" s="66" t="str">
        <f t="shared" si="50"/>
        <v/>
      </c>
      <c r="O53" s="45"/>
      <c r="P53" s="30"/>
      <c r="Q53" s="60" t="str">
        <f t="shared" si="44"/>
        <v>---</v>
      </c>
      <c r="R53" s="60" t="str">
        <f>IF(OR(C53=0, C53=""), "---", ROUND(IF($B$3="mężczyzna", (10*C53 + 6.25*$D$3 - 5*$C$3 + 5)*P50, (10*C53 + 6.25*$D$3 - 5*$C$3 - 161)*P50), 0))</f>
        <v>---</v>
      </c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</row>
    <row r="54">
      <c r="A54" s="45"/>
      <c r="B54" s="62" t="s">
        <v>118</v>
      </c>
      <c r="C54" s="68"/>
      <c r="D54" s="62" t="str">
        <f>IF(AND(ISNUMBER(C50), ISNUMBER(C53)), -(C50-C53), "---")
</f>
        <v>---</v>
      </c>
      <c r="E54" s="68"/>
      <c r="F54" s="62" t="str">
        <f>IF(AND(ISNUMBER(E50), ISNUMBER(E53)), -(E50-E53), "---")
</f>
        <v>---</v>
      </c>
      <c r="G54" s="68"/>
      <c r="H54" s="62" t="str">
        <f>IF(AND(ISNUMBER(G50), ISNUMBER(G53)), -(G50-G53), "---")
</f>
        <v>---</v>
      </c>
      <c r="I54" s="68"/>
      <c r="J54" s="62" t="str">
        <f>IF(AND(ISNUMBER(I50), ISNUMBER(I53)), -(I50-I53), "---")
</f>
        <v>---</v>
      </c>
      <c r="K54" s="68"/>
      <c r="L54" s="62" t="str">
        <f>IF(AND(ISNUMBER(K50), ISNUMBER(K53)), -(K50-K53), "---")
</f>
        <v>---</v>
      </c>
      <c r="M54" s="68"/>
      <c r="N54" s="62" t="str">
        <f>IF(AND(ISNUMBER(M50), ISNUMBER(M53)), -(M50-M53), "---")
</f>
        <v>---</v>
      </c>
      <c r="O54" s="45"/>
      <c r="P54" s="45"/>
      <c r="Q54" s="69"/>
      <c r="R54" s="69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</row>
    <row r="55">
      <c r="A55" s="45"/>
      <c r="B55" s="61"/>
      <c r="C55" s="56"/>
      <c r="D55" s="66" t="str">
        <f>IF(AND(ISNUMBER(C55), ISNUMBER(C53)), C55-C53, "")</f>
        <v/>
      </c>
      <c r="E55" s="56"/>
      <c r="F55" s="66" t="str">
        <f>IF(AND(ISNUMBER(E55), ISNUMBER(E53)), E55-E53, "")</f>
        <v/>
      </c>
      <c r="G55" s="56"/>
      <c r="H55" s="66" t="str">
        <f>IF(AND(ISNUMBER(G55), ISNUMBER(G53)), G55-G53, "")</f>
        <v/>
      </c>
      <c r="I55" s="56"/>
      <c r="J55" s="66" t="str">
        <f>IF(AND(ISNUMBER(I55), ISNUMBER(I53)), I55-I53, "")</f>
        <v/>
      </c>
      <c r="K55" s="56"/>
      <c r="L55" s="66" t="str">
        <f>IF(AND(ISNUMBER(K55), ISNUMBER(K53)), K55-K53, "")</f>
        <v/>
      </c>
      <c r="M55" s="56"/>
      <c r="N55" s="66" t="str">
        <f>IF(AND(ISNUMBER(M55), ISNUMBER(M53)), M55-M53, "")</f>
        <v/>
      </c>
      <c r="O55" s="45"/>
      <c r="P55" s="67" t="s">
        <v>124</v>
      </c>
      <c r="Q55" s="60" t="str">
        <f t="shared" ref="Q55:Q58" si="51">IF(OR(C55=0, C55=""), "---", ROUND(C55 / (($D$3/100)^2), 2))
</f>
        <v>---</v>
      </c>
      <c r="R55" s="60" t="str">
        <f>IF(OR(C55=0, C55=""), "---", ROUND(IF($B$3="mężczyzna", (10*C55 + 6.25*$D$3 - 5*$C$3 + 5)*P55, (10*C55 + 6.25*$D$3 - 5*$C$3 - 161)*P55), 0))</f>
        <v>---</v>
      </c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</row>
    <row r="56">
      <c r="A56" s="45"/>
      <c r="B56" s="56"/>
      <c r="C56" s="56"/>
      <c r="D56" s="66" t="str">
        <f t="shared" ref="D56:D58" si="52">IF(AND(ISNUMBER(C56), ISNUMBER(C55)), C56-C55, "")</f>
        <v/>
      </c>
      <c r="E56" s="56"/>
      <c r="F56" s="66" t="str">
        <f t="shared" ref="F56:F58" si="53">IF(AND(ISNUMBER(E56), ISNUMBER(E55)), E56-E55, "")</f>
        <v/>
      </c>
      <c r="G56" s="56"/>
      <c r="H56" s="66" t="str">
        <f t="shared" ref="H56:H58" si="54">IF(AND(ISNUMBER(G56), ISNUMBER(G55)), G56-G55, "")</f>
        <v/>
      </c>
      <c r="I56" s="56"/>
      <c r="J56" s="66" t="str">
        <f t="shared" ref="J56:J58" si="55">IF(AND(ISNUMBER(I56), ISNUMBER(I55)), I56-I55, "")</f>
        <v/>
      </c>
      <c r="K56" s="56"/>
      <c r="L56" s="66" t="str">
        <f t="shared" ref="L56:L58" si="56">IF(AND(ISNUMBER(K56), ISNUMBER(K55)), K56-K55, "")</f>
        <v/>
      </c>
      <c r="M56" s="56"/>
      <c r="N56" s="66" t="str">
        <f t="shared" ref="N56:N58" si="57">IF(AND(ISNUMBER(M56), ISNUMBER(M55)), M56-M55, "")</f>
        <v/>
      </c>
      <c r="O56" s="45"/>
      <c r="P56" s="28"/>
      <c r="Q56" s="60" t="str">
        <f t="shared" si="51"/>
        <v>---</v>
      </c>
      <c r="R56" s="60" t="str">
        <f>IF(OR(C56=0, C56=""), "---", ROUND(IF($B$3="mężczyzna", (10*C56 + 6.25*$D$3 - 5*$C$3 + 5)*P55, (10*C56 + 6.25*$D$3 - 5*$C$3 - 161)*P55), 0))</f>
        <v>---</v>
      </c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</row>
    <row r="57">
      <c r="A57" s="45"/>
      <c r="B57" s="56"/>
      <c r="C57" s="56"/>
      <c r="D57" s="66" t="str">
        <f t="shared" si="52"/>
        <v/>
      </c>
      <c r="E57" s="56"/>
      <c r="F57" s="66" t="str">
        <f t="shared" si="53"/>
        <v/>
      </c>
      <c r="G57" s="56"/>
      <c r="H57" s="66" t="str">
        <f t="shared" si="54"/>
        <v/>
      </c>
      <c r="I57" s="56"/>
      <c r="J57" s="66" t="str">
        <f t="shared" si="55"/>
        <v/>
      </c>
      <c r="K57" s="56"/>
      <c r="L57" s="66" t="str">
        <f t="shared" si="56"/>
        <v/>
      </c>
      <c r="M57" s="56"/>
      <c r="N57" s="66" t="str">
        <f t="shared" si="57"/>
        <v/>
      </c>
      <c r="O57" s="45"/>
      <c r="P57" s="28"/>
      <c r="Q57" s="60" t="str">
        <f t="shared" si="51"/>
        <v>---</v>
      </c>
      <c r="R57" s="60" t="str">
        <f>IF(OR(C57=0, C57=""), "---", ROUND(IF($B$3="mężczyzna", (10*C57 + 6.25*$D$3 - 5*$C$3 + 5)*P55, (10*C57 + 6.25*$D$3 - 5*$C$3 - 161)*P55), 0))</f>
        <v>---</v>
      </c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</row>
    <row r="58">
      <c r="A58" s="45"/>
      <c r="B58" s="56"/>
      <c r="C58" s="56"/>
      <c r="D58" s="66" t="str">
        <f t="shared" si="52"/>
        <v/>
      </c>
      <c r="E58" s="56"/>
      <c r="F58" s="66" t="str">
        <f t="shared" si="53"/>
        <v/>
      </c>
      <c r="G58" s="56"/>
      <c r="H58" s="66" t="str">
        <f t="shared" si="54"/>
        <v/>
      </c>
      <c r="I58" s="56"/>
      <c r="J58" s="66" t="str">
        <f t="shared" si="55"/>
        <v/>
      </c>
      <c r="K58" s="56"/>
      <c r="L58" s="66" t="str">
        <f t="shared" si="56"/>
        <v/>
      </c>
      <c r="M58" s="56"/>
      <c r="N58" s="66" t="str">
        <f t="shared" si="57"/>
        <v/>
      </c>
      <c r="O58" s="45"/>
      <c r="P58" s="30"/>
      <c r="Q58" s="60" t="str">
        <f t="shared" si="51"/>
        <v>---</v>
      </c>
      <c r="R58" s="60" t="str">
        <f>IF(OR(C58=0, C58=""), "---", ROUND(IF($B$3="mężczyzna", (10*C58 + 6.25*$D$3 - 5*$C$3 + 5)*P55, (10*C58 + 6.25*$D$3 - 5*$C$3 - 161)*P55), 0))</f>
        <v>---</v>
      </c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</row>
    <row r="59">
      <c r="A59" s="45"/>
      <c r="B59" s="62" t="s">
        <v>118</v>
      </c>
      <c r="C59" s="68"/>
      <c r="D59" s="62" t="str">
        <f>IF(AND(ISNUMBER(C55), ISNUMBER(C58)), -(C55-C58), "---")
</f>
        <v>---</v>
      </c>
      <c r="E59" s="68"/>
      <c r="F59" s="62" t="str">
        <f>IF(AND(ISNUMBER(E55), ISNUMBER(E58)), -(E55-E58), "---")
</f>
        <v>---</v>
      </c>
      <c r="G59" s="68"/>
      <c r="H59" s="62" t="str">
        <f>IF(AND(ISNUMBER(G55), ISNUMBER(G58)), -(G55-G58), "---")
</f>
        <v>---</v>
      </c>
      <c r="I59" s="68"/>
      <c r="J59" s="62" t="str">
        <f>IF(AND(ISNUMBER(I55), ISNUMBER(I58)), -(I55-I58), "---")
</f>
        <v>---</v>
      </c>
      <c r="K59" s="68"/>
      <c r="L59" s="62" t="str">
        <f>IF(AND(ISNUMBER(K55), ISNUMBER(K58)), -(K55-K58), "---")
</f>
        <v>---</v>
      </c>
      <c r="M59" s="68"/>
      <c r="N59" s="62" t="str">
        <f>IF(AND(ISNUMBER(M55), ISNUMBER(M58)), -(M55-M58), "---")
</f>
        <v>---</v>
      </c>
      <c r="O59" s="45"/>
      <c r="P59" s="45"/>
      <c r="Q59" s="69"/>
      <c r="R59" s="69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</row>
    <row r="60">
      <c r="A60" s="45"/>
      <c r="B60" s="61"/>
      <c r="C60" s="56"/>
      <c r="D60" s="66" t="str">
        <f>IF(AND(ISNUMBER(C60), ISNUMBER(C58)), C60-C58, "")</f>
        <v/>
      </c>
      <c r="E60" s="56"/>
      <c r="F60" s="66" t="str">
        <f>IF(AND(ISNUMBER(E60), ISNUMBER(E58)), E60-E58, "")</f>
        <v/>
      </c>
      <c r="G60" s="56"/>
      <c r="H60" s="66" t="str">
        <f>IF(AND(ISNUMBER(G60), ISNUMBER(G58)), G60-G58, "")</f>
        <v/>
      </c>
      <c r="I60" s="56"/>
      <c r="J60" s="66" t="str">
        <f>IF(AND(ISNUMBER(I60), ISNUMBER(I58)), I60-I58, "")</f>
        <v/>
      </c>
      <c r="K60" s="56"/>
      <c r="L60" s="66" t="str">
        <f>IF(AND(ISNUMBER(K60), ISNUMBER(K58)), K60-K58, "")</f>
        <v/>
      </c>
      <c r="M60" s="56"/>
      <c r="N60" s="66" t="str">
        <f>IF(AND(ISNUMBER(M60), ISNUMBER(M58)), M60-M58, "")</f>
        <v/>
      </c>
      <c r="O60" s="45"/>
      <c r="P60" s="67" t="s">
        <v>124</v>
      </c>
      <c r="Q60" s="60" t="str">
        <f t="shared" ref="Q60:Q63" si="58">IF(OR(C60=0, C60=""), "---", ROUND(C60 / (($D$3/100)^2), 2))
</f>
        <v>---</v>
      </c>
      <c r="R60" s="60" t="str">
        <f>IF(OR(C60=0, C60=""), "---", ROUND(IF($B$3="mężczyzna", (10*C60 + 6.25*$D$3 - 5*$C$3 + 5)*P60, (10*C60 + 6.25*$D$3 - 5*$C$3 - 161)*P60), 0))</f>
        <v>---</v>
      </c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</row>
    <row r="61">
      <c r="A61" s="45"/>
      <c r="B61" s="56"/>
      <c r="C61" s="56"/>
      <c r="D61" s="66" t="str">
        <f t="shared" ref="D61:D63" si="59">IF(AND(ISNUMBER(C61), ISNUMBER(C60)), C61-C60, "")</f>
        <v/>
      </c>
      <c r="E61" s="56"/>
      <c r="F61" s="66" t="str">
        <f t="shared" ref="F61:F63" si="60">IF(AND(ISNUMBER(E61), ISNUMBER(E60)), E61-E60, "")</f>
        <v/>
      </c>
      <c r="G61" s="56"/>
      <c r="H61" s="66" t="str">
        <f t="shared" ref="H61:H63" si="61">IF(AND(ISNUMBER(G61), ISNUMBER(G60)), G61-G60, "")</f>
        <v/>
      </c>
      <c r="I61" s="56"/>
      <c r="J61" s="66" t="str">
        <f t="shared" ref="J61:J63" si="62">IF(AND(ISNUMBER(I61), ISNUMBER(I60)), I61-I60, "")</f>
        <v/>
      </c>
      <c r="K61" s="56"/>
      <c r="L61" s="66" t="str">
        <f t="shared" ref="L61:L63" si="63">IF(AND(ISNUMBER(K61), ISNUMBER(K60)), K61-K60, "")</f>
        <v/>
      </c>
      <c r="M61" s="56"/>
      <c r="N61" s="66" t="str">
        <f t="shared" ref="N61:N63" si="64">IF(AND(ISNUMBER(M61), ISNUMBER(M60)), M61-M60, "")</f>
        <v/>
      </c>
      <c r="O61" s="45"/>
      <c r="P61" s="28"/>
      <c r="Q61" s="60" t="str">
        <f t="shared" si="58"/>
        <v>---</v>
      </c>
      <c r="R61" s="60" t="str">
        <f>IF(OR(C61=0, C61=""), "---", ROUND(IF($B$3="mężczyzna", (10*C61 + 6.25*$D$3 - 5*$C$3 + 5)*P60, (10*C61 + 6.25*$D$3 - 5*$C$3 - 161)*P60), 0))</f>
        <v>---</v>
      </c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</row>
    <row r="62">
      <c r="A62" s="45"/>
      <c r="B62" s="56"/>
      <c r="C62" s="56"/>
      <c r="D62" s="66" t="str">
        <f t="shared" si="59"/>
        <v/>
      </c>
      <c r="E62" s="56"/>
      <c r="F62" s="66" t="str">
        <f t="shared" si="60"/>
        <v/>
      </c>
      <c r="G62" s="56"/>
      <c r="H62" s="66" t="str">
        <f t="shared" si="61"/>
        <v/>
      </c>
      <c r="I62" s="56"/>
      <c r="J62" s="66" t="str">
        <f t="shared" si="62"/>
        <v/>
      </c>
      <c r="K62" s="56"/>
      <c r="L62" s="66" t="str">
        <f t="shared" si="63"/>
        <v/>
      </c>
      <c r="M62" s="56"/>
      <c r="N62" s="66" t="str">
        <f t="shared" si="64"/>
        <v/>
      </c>
      <c r="O62" s="45"/>
      <c r="P62" s="28"/>
      <c r="Q62" s="60" t="str">
        <f t="shared" si="58"/>
        <v>---</v>
      </c>
      <c r="R62" s="60" t="str">
        <f>IF(OR(C62=0, C62=""), "---", ROUND(IF($B$3="mężczyzna", (10*C62 + 6.25*$D$3 - 5*$C$3 + 5)*P60, (10*C62 + 6.25*$D$3 - 5*$C$3 - 161)*P60), 0))</f>
        <v>---</v>
      </c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</row>
    <row r="63">
      <c r="A63" s="45"/>
      <c r="B63" s="56"/>
      <c r="C63" s="56"/>
      <c r="D63" s="66" t="str">
        <f t="shared" si="59"/>
        <v/>
      </c>
      <c r="E63" s="56"/>
      <c r="F63" s="66" t="str">
        <f t="shared" si="60"/>
        <v/>
      </c>
      <c r="G63" s="56"/>
      <c r="H63" s="66" t="str">
        <f t="shared" si="61"/>
        <v/>
      </c>
      <c r="I63" s="56"/>
      <c r="J63" s="66" t="str">
        <f t="shared" si="62"/>
        <v/>
      </c>
      <c r="K63" s="56"/>
      <c r="L63" s="66" t="str">
        <f t="shared" si="63"/>
        <v/>
      </c>
      <c r="M63" s="56"/>
      <c r="N63" s="66" t="str">
        <f t="shared" si="64"/>
        <v/>
      </c>
      <c r="O63" s="45"/>
      <c r="P63" s="30"/>
      <c r="Q63" s="60" t="str">
        <f t="shared" si="58"/>
        <v>---</v>
      </c>
      <c r="R63" s="60" t="str">
        <f>IF(OR(C63=0, C63=""), "---", ROUND(IF($B$3="mężczyzna", (10*C63 + 6.25*$D$3 - 5*$C$3 + 5)*P60, (10*C63 + 6.25*$D$3 - 5*$C$3 - 161)*P60), 0))</f>
        <v>---</v>
      </c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</row>
    <row r="64">
      <c r="A64" s="45"/>
      <c r="B64" s="62" t="s">
        <v>118</v>
      </c>
      <c r="C64" s="68"/>
      <c r="D64" s="62" t="str">
        <f>IF(AND(ISNUMBER(C60), ISNUMBER(C63)), -(C60-C63), "---")
</f>
        <v>---</v>
      </c>
      <c r="E64" s="68"/>
      <c r="F64" s="62" t="str">
        <f>IF(AND(ISNUMBER(E60), ISNUMBER(E63)), -(E60-E63), "---")
</f>
        <v>---</v>
      </c>
      <c r="G64" s="68"/>
      <c r="H64" s="62" t="str">
        <f>IF(AND(ISNUMBER(G60), ISNUMBER(G63)), -(G60-G63), "---")
</f>
        <v>---</v>
      </c>
      <c r="I64" s="68"/>
      <c r="J64" s="62" t="str">
        <f>IF(AND(ISNUMBER(I60), ISNUMBER(I63)), -(I60-I63), "---")
</f>
        <v>---</v>
      </c>
      <c r="K64" s="68"/>
      <c r="L64" s="62" t="str">
        <f>IF(AND(ISNUMBER(K60), ISNUMBER(K63)), -(K60-K63), "---")
</f>
        <v>---</v>
      </c>
      <c r="M64" s="68"/>
      <c r="N64" s="62" t="str">
        <f>IF(AND(ISNUMBER(M60), ISNUMBER(M63)), -(M60-M63), "---")
</f>
        <v>---</v>
      </c>
      <c r="O64" s="45"/>
      <c r="P64" s="45"/>
      <c r="Q64" s="69"/>
      <c r="R64" s="69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</row>
    <row r="65">
      <c r="A65" s="45"/>
      <c r="B65" s="61"/>
      <c r="C65" s="56"/>
      <c r="D65" s="66" t="str">
        <f>IF(AND(ISNUMBER(C65), ISNUMBER(C63)), C65-C63, "")</f>
        <v/>
      </c>
      <c r="E65" s="56"/>
      <c r="F65" s="66" t="str">
        <f>IF(AND(ISNUMBER(E65), ISNUMBER(E63)), E65-E63, "")</f>
        <v/>
      </c>
      <c r="G65" s="56"/>
      <c r="H65" s="66" t="str">
        <f>IF(AND(ISNUMBER(G65), ISNUMBER(G63)), G65-G63, "")</f>
        <v/>
      </c>
      <c r="I65" s="56"/>
      <c r="J65" s="66" t="str">
        <f>IF(AND(ISNUMBER(I65), ISNUMBER(I63)), I65-I63, "")</f>
        <v/>
      </c>
      <c r="K65" s="56"/>
      <c r="L65" s="66" t="str">
        <f>IF(AND(ISNUMBER(K65), ISNUMBER(K63)), K65-K63, "")</f>
        <v/>
      </c>
      <c r="M65" s="56"/>
      <c r="N65" s="66" t="str">
        <f>IF(AND(ISNUMBER(M65), ISNUMBER(M63)), M65-M63, "")</f>
        <v/>
      </c>
      <c r="O65" s="45"/>
      <c r="P65" s="67" t="s">
        <v>124</v>
      </c>
      <c r="Q65" s="60" t="str">
        <f t="shared" ref="Q65:Q68" si="65">IF(OR(C65=0, C65=""), "---", ROUND(C65 / (($D$3/100)^2), 2))
</f>
        <v>---</v>
      </c>
      <c r="R65" s="60" t="str">
        <f>IF(OR(C65=0, C65=""), "---", ROUND(IF($B$3="mężczyzna", (10*C65 + 6.25*$D$3 - 5*$C$3 + 5)*P65, (10*C65 + 6.25*$D$3 - 5*$C$3 - 161)*P65), 0))</f>
        <v>---</v>
      </c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</row>
    <row r="66">
      <c r="A66" s="45"/>
      <c r="B66" s="56"/>
      <c r="C66" s="56"/>
      <c r="D66" s="66" t="str">
        <f t="shared" ref="D66:D68" si="66">IF(AND(ISNUMBER(C66), ISNUMBER(C65)), C66-C65, "")</f>
        <v/>
      </c>
      <c r="E66" s="56"/>
      <c r="F66" s="66" t="str">
        <f t="shared" ref="F66:F68" si="67">IF(AND(ISNUMBER(E66), ISNUMBER(E65)), E66-E65, "")</f>
        <v/>
      </c>
      <c r="G66" s="56"/>
      <c r="H66" s="66" t="str">
        <f t="shared" ref="H66:H68" si="68">IF(AND(ISNUMBER(G66), ISNUMBER(G65)), G66-G65, "")</f>
        <v/>
      </c>
      <c r="I66" s="56"/>
      <c r="J66" s="66" t="str">
        <f t="shared" ref="J66:J68" si="69">IF(AND(ISNUMBER(I66), ISNUMBER(I65)), I66-I65, "")</f>
        <v/>
      </c>
      <c r="K66" s="56"/>
      <c r="L66" s="66" t="str">
        <f t="shared" ref="L66:L68" si="70">IF(AND(ISNUMBER(K66), ISNUMBER(K65)), K66-K65, "")</f>
        <v/>
      </c>
      <c r="M66" s="56"/>
      <c r="N66" s="66" t="str">
        <f t="shared" ref="N66:N68" si="71">IF(AND(ISNUMBER(M66), ISNUMBER(M65)), M66-M65, "")</f>
        <v/>
      </c>
      <c r="O66" s="45"/>
      <c r="P66" s="28"/>
      <c r="Q66" s="60" t="str">
        <f t="shared" si="65"/>
        <v>---</v>
      </c>
      <c r="R66" s="60" t="str">
        <f>IF(OR(C66=0, C66=""), "---", ROUND(IF($B$3="mężczyzna", (10*C66 + 6.25*$D$3 - 5*$C$3 + 5)*P65, (10*C66 + 6.25*$D$3 - 5*$C$3 - 161)*P65), 0))</f>
        <v>---</v>
      </c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</row>
    <row r="67">
      <c r="A67" s="45"/>
      <c r="B67" s="56"/>
      <c r="C67" s="56"/>
      <c r="D67" s="66" t="str">
        <f t="shared" si="66"/>
        <v/>
      </c>
      <c r="E67" s="56"/>
      <c r="F67" s="66" t="str">
        <f t="shared" si="67"/>
        <v/>
      </c>
      <c r="G67" s="56"/>
      <c r="H67" s="66" t="str">
        <f t="shared" si="68"/>
        <v/>
      </c>
      <c r="I67" s="56"/>
      <c r="J67" s="66" t="str">
        <f t="shared" si="69"/>
        <v/>
      </c>
      <c r="K67" s="56"/>
      <c r="L67" s="66" t="str">
        <f t="shared" si="70"/>
        <v/>
      </c>
      <c r="M67" s="56"/>
      <c r="N67" s="66" t="str">
        <f t="shared" si="71"/>
        <v/>
      </c>
      <c r="O67" s="45"/>
      <c r="P67" s="28"/>
      <c r="Q67" s="60" t="str">
        <f t="shared" si="65"/>
        <v>---</v>
      </c>
      <c r="R67" s="60" t="str">
        <f>IF(OR(C67=0, C67=""), "---", ROUND(IF($B$3="mężczyzna", (10*C67 + 6.25*$D$3 - 5*$C$3 + 5)*P65, (10*C67 + 6.25*$D$3 - 5*$C$3 - 161)*P65), 0))</f>
        <v>---</v>
      </c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</row>
    <row r="68">
      <c r="A68" s="45"/>
      <c r="B68" s="56"/>
      <c r="C68" s="56"/>
      <c r="D68" s="66" t="str">
        <f t="shared" si="66"/>
        <v/>
      </c>
      <c r="E68" s="56"/>
      <c r="F68" s="66" t="str">
        <f t="shared" si="67"/>
        <v/>
      </c>
      <c r="G68" s="56"/>
      <c r="H68" s="66" t="str">
        <f t="shared" si="68"/>
        <v/>
      </c>
      <c r="I68" s="56"/>
      <c r="J68" s="66" t="str">
        <f t="shared" si="69"/>
        <v/>
      </c>
      <c r="K68" s="56"/>
      <c r="L68" s="66" t="str">
        <f t="shared" si="70"/>
        <v/>
      </c>
      <c r="M68" s="56"/>
      <c r="N68" s="66" t="str">
        <f t="shared" si="71"/>
        <v/>
      </c>
      <c r="O68" s="45"/>
      <c r="P68" s="30"/>
      <c r="Q68" s="60" t="str">
        <f t="shared" si="65"/>
        <v>---</v>
      </c>
      <c r="R68" s="60" t="str">
        <f>IF(OR(C68=0, C68=""), "---", ROUND(IF($B$3="mężczyzna", (10*C68 + 6.25*$D$3 - 5*$C$3 + 5)*P65, (10*C68 + 6.25*$D$3 - 5*$C$3 - 161)*P65), 0))</f>
        <v>---</v>
      </c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</row>
    <row r="69">
      <c r="A69" s="45"/>
      <c r="B69" s="62" t="s">
        <v>118</v>
      </c>
      <c r="C69" s="68"/>
      <c r="D69" s="62" t="str">
        <f>IF(AND(ISNUMBER(C65), ISNUMBER(C68)), -(C65-C68), "---")
</f>
        <v>---</v>
      </c>
      <c r="E69" s="68"/>
      <c r="F69" s="62" t="str">
        <f>IF(AND(ISNUMBER(E65), ISNUMBER(E68)), -(E65-E68), "---")
</f>
        <v>---</v>
      </c>
      <c r="G69" s="68"/>
      <c r="H69" s="62" t="str">
        <f>IF(AND(ISNUMBER(G65), ISNUMBER(G68)), -(G65-G68), "---")
</f>
        <v>---</v>
      </c>
      <c r="I69" s="68"/>
      <c r="J69" s="62" t="str">
        <f>IF(AND(ISNUMBER(I65), ISNUMBER(I68)), -(I65-I68), "---")
</f>
        <v>---</v>
      </c>
      <c r="K69" s="68"/>
      <c r="L69" s="62" t="str">
        <f>IF(AND(ISNUMBER(K65), ISNUMBER(K68)), -(K65-K68), "---")
</f>
        <v>---</v>
      </c>
      <c r="M69" s="68"/>
      <c r="N69" s="62" t="str">
        <f>IF(AND(ISNUMBER(M65), ISNUMBER(M68)), -(M65-M68), "---")
</f>
        <v>---</v>
      </c>
      <c r="O69" s="45"/>
      <c r="P69" s="45"/>
      <c r="Q69" s="69"/>
      <c r="R69" s="69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</row>
    <row r="70">
      <c r="A70" s="45"/>
      <c r="B70" s="61"/>
      <c r="C70" s="56"/>
      <c r="D70" s="66" t="str">
        <f>IF(AND(ISNUMBER(C70), ISNUMBER(C68)), C70-C68, "")</f>
        <v/>
      </c>
      <c r="E70" s="56"/>
      <c r="F70" s="66" t="str">
        <f>IF(AND(ISNUMBER(E70), ISNUMBER(E68)), E70-E68, "")</f>
        <v/>
      </c>
      <c r="G70" s="56"/>
      <c r="H70" s="66" t="str">
        <f>IF(AND(ISNUMBER(G70), ISNUMBER(G68)), G70-G68, "")</f>
        <v/>
      </c>
      <c r="I70" s="56"/>
      <c r="J70" s="66" t="str">
        <f>IF(AND(ISNUMBER(I70), ISNUMBER(I68)), I70-I68, "")</f>
        <v/>
      </c>
      <c r="K70" s="56"/>
      <c r="L70" s="66" t="str">
        <f>IF(AND(ISNUMBER(K70), ISNUMBER(K68)), K70-K68, "")</f>
        <v/>
      </c>
      <c r="M70" s="56"/>
      <c r="N70" s="66" t="str">
        <f>IF(AND(ISNUMBER(M70), ISNUMBER(M68)), M70-M68, "")</f>
        <v/>
      </c>
      <c r="O70" s="45"/>
      <c r="P70" s="67" t="s">
        <v>124</v>
      </c>
      <c r="Q70" s="60" t="str">
        <f t="shared" ref="Q70:Q73" si="72">IF(OR(C70=0, C70=""), "---", ROUND(C70 / (($D$3/100)^2), 2))
</f>
        <v>---</v>
      </c>
      <c r="R70" s="60" t="str">
        <f>IF(OR(C70=0, C70=""), "---", ROUND(IF($B$3="mężczyzna", (10*C70 + 6.25*$D$3 - 5*$C$3 + 5)*P70, (10*C70 + 6.25*$D$3 - 5*$C$3 - 161)*P70), 0))</f>
        <v>---</v>
      </c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</row>
    <row r="71">
      <c r="A71" s="45"/>
      <c r="B71" s="56"/>
      <c r="C71" s="56"/>
      <c r="D71" s="66" t="str">
        <f t="shared" ref="D71:D73" si="73">IF(AND(ISNUMBER(C71), ISNUMBER(C70)), C71-C70, "")</f>
        <v/>
      </c>
      <c r="E71" s="56"/>
      <c r="F71" s="66" t="str">
        <f t="shared" ref="F71:F73" si="74">IF(AND(ISNUMBER(E71), ISNUMBER(E70)), E71-E70, "")</f>
        <v/>
      </c>
      <c r="G71" s="56"/>
      <c r="H71" s="66" t="str">
        <f t="shared" ref="H71:H73" si="75">IF(AND(ISNUMBER(G71), ISNUMBER(G70)), G71-G70, "")</f>
        <v/>
      </c>
      <c r="I71" s="56"/>
      <c r="J71" s="66" t="str">
        <f t="shared" ref="J71:J73" si="76">IF(AND(ISNUMBER(I71), ISNUMBER(I70)), I71-I70, "")</f>
        <v/>
      </c>
      <c r="K71" s="56"/>
      <c r="L71" s="66" t="str">
        <f t="shared" ref="L71:L73" si="77">IF(AND(ISNUMBER(K71), ISNUMBER(K70)), K71-K70, "")</f>
        <v/>
      </c>
      <c r="M71" s="56"/>
      <c r="N71" s="66" t="str">
        <f t="shared" ref="N71:N73" si="78">IF(AND(ISNUMBER(M71), ISNUMBER(M70)), M71-M70, "")</f>
        <v/>
      </c>
      <c r="O71" s="45"/>
      <c r="P71" s="28"/>
      <c r="Q71" s="60" t="str">
        <f t="shared" si="72"/>
        <v>---</v>
      </c>
      <c r="R71" s="60" t="str">
        <f>IF(OR(C71=0, C71=""), "---", ROUND(IF($B$3="mężczyzna", (10*C71 + 6.25*$D$3 - 5*$C$3 + 5)*P70, (10*C71 + 6.25*$D$3 - 5*$C$3 - 161)*P70), 0))</f>
        <v>---</v>
      </c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</row>
    <row r="72">
      <c r="A72" s="45"/>
      <c r="B72" s="56"/>
      <c r="C72" s="56"/>
      <c r="D72" s="66" t="str">
        <f t="shared" si="73"/>
        <v/>
      </c>
      <c r="E72" s="56"/>
      <c r="F72" s="66" t="str">
        <f t="shared" si="74"/>
        <v/>
      </c>
      <c r="G72" s="56"/>
      <c r="H72" s="66" t="str">
        <f t="shared" si="75"/>
        <v/>
      </c>
      <c r="I72" s="56"/>
      <c r="J72" s="66" t="str">
        <f t="shared" si="76"/>
        <v/>
      </c>
      <c r="K72" s="56"/>
      <c r="L72" s="66" t="str">
        <f t="shared" si="77"/>
        <v/>
      </c>
      <c r="M72" s="56"/>
      <c r="N72" s="66" t="str">
        <f t="shared" si="78"/>
        <v/>
      </c>
      <c r="O72" s="45"/>
      <c r="P72" s="28"/>
      <c r="Q72" s="60" t="str">
        <f t="shared" si="72"/>
        <v>---</v>
      </c>
      <c r="R72" s="60" t="str">
        <f>IF(OR(C72=0, C72=""), "---", ROUND(IF($B$3="mężczyzna", (10*C72 + 6.25*$D$3 - 5*$C$3 + 5)*P70, (10*C72 + 6.25*$D$3 - 5*$C$3 - 161)*P70), 0))</f>
        <v>---</v>
      </c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</row>
    <row r="73">
      <c r="A73" s="45"/>
      <c r="B73" s="56"/>
      <c r="C73" s="56"/>
      <c r="D73" s="66" t="str">
        <f t="shared" si="73"/>
        <v/>
      </c>
      <c r="E73" s="56"/>
      <c r="F73" s="66" t="str">
        <f t="shared" si="74"/>
        <v/>
      </c>
      <c r="G73" s="56"/>
      <c r="H73" s="66" t="str">
        <f t="shared" si="75"/>
        <v/>
      </c>
      <c r="I73" s="56"/>
      <c r="J73" s="66" t="str">
        <f t="shared" si="76"/>
        <v/>
      </c>
      <c r="K73" s="56"/>
      <c r="L73" s="66" t="str">
        <f t="shared" si="77"/>
        <v/>
      </c>
      <c r="M73" s="56"/>
      <c r="N73" s="66" t="str">
        <f t="shared" si="78"/>
        <v/>
      </c>
      <c r="O73" s="45"/>
      <c r="P73" s="30"/>
      <c r="Q73" s="60" t="str">
        <f t="shared" si="72"/>
        <v>---</v>
      </c>
      <c r="R73" s="60" t="str">
        <f>IF(OR(C73=0, C73=""), "---", ROUND(IF($B$3="mężczyzna", (10*C73 + 6.25*$D$3 - 5*$C$3 + 5)*P70, (10*C73 + 6.25*$D$3 - 5*$C$3 - 161)*P70), 0))</f>
        <v>---</v>
      </c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</row>
    <row r="74">
      <c r="A74" s="45"/>
      <c r="B74" s="62" t="s">
        <v>118</v>
      </c>
      <c r="C74" s="68"/>
      <c r="D74" s="62" t="str">
        <f>IF(AND(ISNUMBER(C70), ISNUMBER(C73)), -(C70-C73), "---")
</f>
        <v>---</v>
      </c>
      <c r="E74" s="68"/>
      <c r="F74" s="62" t="str">
        <f>IF(AND(ISNUMBER(E70), ISNUMBER(E73)), -(E70-E73), "---")
</f>
        <v>---</v>
      </c>
      <c r="G74" s="68"/>
      <c r="H74" s="62" t="str">
        <f>IF(AND(ISNUMBER(G70), ISNUMBER(G73)), -(G70-G73), "---")
</f>
        <v>---</v>
      </c>
      <c r="I74" s="68"/>
      <c r="J74" s="62" t="str">
        <f>IF(AND(ISNUMBER(I70), ISNUMBER(I73)), -(I70-I73), "---")
</f>
        <v>---</v>
      </c>
      <c r="K74" s="68"/>
      <c r="L74" s="62" t="str">
        <f>IF(AND(ISNUMBER(K70), ISNUMBER(K73)), -(K70-K73), "---")
</f>
        <v>---</v>
      </c>
      <c r="M74" s="68"/>
      <c r="N74" s="62" t="str">
        <f>IF(AND(ISNUMBER(M70), ISNUMBER(M73)), -(M70-M73), "---")
</f>
        <v>---</v>
      </c>
      <c r="O74" s="45"/>
      <c r="P74" s="45"/>
      <c r="Q74" s="69"/>
      <c r="R74" s="69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</row>
    <row r="75">
      <c r="A75" s="45"/>
      <c r="B75" s="61"/>
      <c r="C75" s="56"/>
      <c r="D75" s="66" t="str">
        <f>IF(AND(ISNUMBER(C75), ISNUMBER(C73)), C75-C73, "")</f>
        <v/>
      </c>
      <c r="E75" s="56"/>
      <c r="F75" s="66" t="str">
        <f>IF(AND(ISNUMBER(E75), ISNUMBER(E73)), E75-E73, "")</f>
        <v/>
      </c>
      <c r="G75" s="56"/>
      <c r="H75" s="66" t="str">
        <f>IF(AND(ISNUMBER(G75), ISNUMBER(G73)), G75-G73, "")</f>
        <v/>
      </c>
      <c r="I75" s="56"/>
      <c r="J75" s="66" t="str">
        <f>IF(AND(ISNUMBER(I75), ISNUMBER(I73)), I75-I73, "")</f>
        <v/>
      </c>
      <c r="K75" s="56"/>
      <c r="L75" s="66" t="str">
        <f>IF(AND(ISNUMBER(K75), ISNUMBER(K73)), K75-K73, "")</f>
        <v/>
      </c>
      <c r="M75" s="56"/>
      <c r="N75" s="66" t="str">
        <f>IF(AND(ISNUMBER(M75), ISNUMBER(M73)), M75-M73, "")</f>
        <v/>
      </c>
      <c r="O75" s="45"/>
      <c r="P75" s="67" t="s">
        <v>124</v>
      </c>
      <c r="Q75" s="60" t="str">
        <f t="shared" ref="Q75:Q78" si="79">IF(OR(C75=0, C75=""), "---", ROUND(C75 / (($D$3/100)^2), 2))
</f>
        <v>---</v>
      </c>
      <c r="R75" s="60" t="str">
        <f>IF(OR(C75=0, C75=""), "---", ROUND(IF($B$3="mężczyzna", (10*C75 + 6.25*$D$3 - 5*$C$3 + 5)*P75, (10*C75 + 6.25*$D$3 - 5*$C$3 - 161)*P75), 0))</f>
        <v>---</v>
      </c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</row>
    <row r="76">
      <c r="A76" s="45"/>
      <c r="B76" s="56"/>
      <c r="C76" s="56"/>
      <c r="D76" s="66" t="str">
        <f t="shared" ref="D76:D78" si="80">IF(AND(ISNUMBER(C76), ISNUMBER(C75)), C76-C75, "")</f>
        <v/>
      </c>
      <c r="E76" s="56"/>
      <c r="F76" s="66" t="str">
        <f t="shared" ref="F76:F78" si="81">IF(AND(ISNUMBER(E76), ISNUMBER(E75)), E76-E75, "")</f>
        <v/>
      </c>
      <c r="G76" s="56"/>
      <c r="H76" s="66" t="str">
        <f t="shared" ref="H76:H78" si="82">IF(AND(ISNUMBER(G76), ISNUMBER(G75)), G76-G75, "")</f>
        <v/>
      </c>
      <c r="I76" s="56"/>
      <c r="J76" s="66" t="str">
        <f t="shared" ref="J76:J78" si="83">IF(AND(ISNUMBER(I76), ISNUMBER(I75)), I76-I75, "")</f>
        <v/>
      </c>
      <c r="K76" s="56"/>
      <c r="L76" s="66" t="str">
        <f t="shared" ref="L76:L78" si="84">IF(AND(ISNUMBER(K76), ISNUMBER(K75)), K76-K75, "")</f>
        <v/>
      </c>
      <c r="M76" s="56"/>
      <c r="N76" s="66" t="str">
        <f t="shared" ref="N76:N78" si="85">IF(AND(ISNUMBER(M76), ISNUMBER(M75)), M76-M75, "")</f>
        <v/>
      </c>
      <c r="O76" s="45"/>
      <c r="P76" s="28"/>
      <c r="Q76" s="60" t="str">
        <f t="shared" si="79"/>
        <v>---</v>
      </c>
      <c r="R76" s="60" t="str">
        <f>IF(OR(C76=0, C76=""), "---", ROUND(IF($B$3="mężczyzna", (10*C76 + 6.25*$D$3 - 5*$C$3 + 5)*P75, (10*C76 + 6.25*$D$3 - 5*$C$3 - 161)*P75), 0))</f>
        <v>---</v>
      </c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</row>
    <row r="77">
      <c r="A77" s="45"/>
      <c r="B77" s="56"/>
      <c r="C77" s="56"/>
      <c r="D77" s="66" t="str">
        <f t="shared" si="80"/>
        <v/>
      </c>
      <c r="E77" s="56"/>
      <c r="F77" s="66" t="str">
        <f t="shared" si="81"/>
        <v/>
      </c>
      <c r="G77" s="56"/>
      <c r="H77" s="66" t="str">
        <f t="shared" si="82"/>
        <v/>
      </c>
      <c r="I77" s="56"/>
      <c r="J77" s="66" t="str">
        <f t="shared" si="83"/>
        <v/>
      </c>
      <c r="K77" s="56"/>
      <c r="L77" s="66" t="str">
        <f t="shared" si="84"/>
        <v/>
      </c>
      <c r="M77" s="56"/>
      <c r="N77" s="66" t="str">
        <f t="shared" si="85"/>
        <v/>
      </c>
      <c r="O77" s="45"/>
      <c r="P77" s="28"/>
      <c r="Q77" s="60" t="str">
        <f t="shared" si="79"/>
        <v>---</v>
      </c>
      <c r="R77" s="60" t="str">
        <f>IF(OR(C77=0, C77=""), "---", ROUND(IF($B$3="mężczyzna", (10*C77 + 6.25*$D$3 - 5*$C$3 + 5)*P75, (10*C77 + 6.25*$D$3 - 5*$C$3 - 161)*P75), 0))</f>
        <v>---</v>
      </c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</row>
    <row r="78">
      <c r="A78" s="45"/>
      <c r="B78" s="56"/>
      <c r="C78" s="56"/>
      <c r="D78" s="66" t="str">
        <f t="shared" si="80"/>
        <v/>
      </c>
      <c r="E78" s="56"/>
      <c r="F78" s="66" t="str">
        <f t="shared" si="81"/>
        <v/>
      </c>
      <c r="G78" s="56"/>
      <c r="H78" s="66" t="str">
        <f t="shared" si="82"/>
        <v/>
      </c>
      <c r="I78" s="56"/>
      <c r="J78" s="66" t="str">
        <f t="shared" si="83"/>
        <v/>
      </c>
      <c r="K78" s="56"/>
      <c r="L78" s="66" t="str">
        <f t="shared" si="84"/>
        <v/>
      </c>
      <c r="M78" s="56"/>
      <c r="N78" s="66" t="str">
        <f t="shared" si="85"/>
        <v/>
      </c>
      <c r="O78" s="45"/>
      <c r="P78" s="30"/>
      <c r="Q78" s="60" t="str">
        <f t="shared" si="79"/>
        <v>---</v>
      </c>
      <c r="R78" s="60" t="str">
        <f>IF(OR(C78=0, C78=""), "---", ROUND(IF($B$3="mężczyzna", (10*C78 + 6.25*$D$3 - 5*$C$3 + 5)*P75, (10*C78 + 6.25*$D$3 - 5*$C$3 - 161)*P75), 0))</f>
        <v>---</v>
      </c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</row>
    <row r="79">
      <c r="A79" s="45"/>
      <c r="B79" s="62" t="s">
        <v>118</v>
      </c>
      <c r="C79" s="68"/>
      <c r="D79" s="62" t="str">
        <f>IF(AND(ISNUMBER(C75), ISNUMBER(C78)), -(C75-C78), "---")
</f>
        <v>---</v>
      </c>
      <c r="E79" s="68"/>
      <c r="F79" s="62" t="str">
        <f>IF(AND(ISNUMBER(E75), ISNUMBER(E78)), -(E75-E78), "---")
</f>
        <v>---</v>
      </c>
      <c r="G79" s="68"/>
      <c r="H79" s="62" t="str">
        <f>IF(AND(ISNUMBER(G75), ISNUMBER(G78)), -(G75-G78), "---")
</f>
        <v>---</v>
      </c>
      <c r="I79" s="68"/>
      <c r="J79" s="62" t="str">
        <f>IF(AND(ISNUMBER(I75), ISNUMBER(I78)), -(I75-I78), "---")
</f>
        <v>---</v>
      </c>
      <c r="K79" s="68"/>
      <c r="L79" s="62" t="str">
        <f>IF(AND(ISNUMBER(K75), ISNUMBER(K78)), -(K75-K78), "---")
</f>
        <v>---</v>
      </c>
      <c r="M79" s="68"/>
      <c r="N79" s="62" t="str">
        <f>IF(AND(ISNUMBER(M75), ISNUMBER(M78)), -(M75-M78), "---")
</f>
        <v>---</v>
      </c>
      <c r="O79" s="45"/>
      <c r="P79" s="45"/>
      <c r="Q79" s="69"/>
      <c r="R79" s="69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</row>
    <row r="80">
      <c r="A80" s="45"/>
      <c r="B80" s="61"/>
      <c r="C80" s="56"/>
      <c r="D80" s="66" t="str">
        <f>IF(AND(ISNUMBER(C80), ISNUMBER(C78)), C80-C78, "")</f>
        <v/>
      </c>
      <c r="E80" s="56"/>
      <c r="F80" s="66" t="str">
        <f>IF(AND(ISNUMBER(E80), ISNUMBER(E78)), E80-E78, "")</f>
        <v/>
      </c>
      <c r="G80" s="56"/>
      <c r="H80" s="66" t="str">
        <f>IF(AND(ISNUMBER(G80), ISNUMBER(G78)), G80-G78, "")</f>
        <v/>
      </c>
      <c r="I80" s="56"/>
      <c r="J80" s="66" t="str">
        <f>IF(AND(ISNUMBER(I80), ISNUMBER(I78)), I80-I78, "")</f>
        <v/>
      </c>
      <c r="K80" s="56"/>
      <c r="L80" s="66" t="str">
        <f>IF(AND(ISNUMBER(K80), ISNUMBER(K78)), K80-K78, "")</f>
        <v/>
      </c>
      <c r="M80" s="56"/>
      <c r="N80" s="66" t="str">
        <f>IF(AND(ISNUMBER(M80), ISNUMBER(M78)), M80-M78, "")</f>
        <v/>
      </c>
      <c r="O80" s="45"/>
      <c r="P80" s="67" t="s">
        <v>124</v>
      </c>
      <c r="Q80" s="60" t="str">
        <f t="shared" ref="Q80:Q83" si="86">IF(OR(C80=0, C80=""), "---", ROUND(C80 / (($D$3/100)^2), 2))
</f>
        <v>---</v>
      </c>
      <c r="R80" s="60" t="str">
        <f>IF(OR(C80=0, C80=""), "---", ROUND(IF($B$3="mężczyzna", (10*C80 + 6.25*$D$3 - 5*$C$3 + 5)*P80, (10*C80 + 6.25*$D$3 - 5*$C$3 - 161)*P80), 0))</f>
        <v>---</v>
      </c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</row>
    <row r="81">
      <c r="A81" s="45"/>
      <c r="B81" s="56"/>
      <c r="C81" s="56"/>
      <c r="D81" s="66" t="str">
        <f t="shared" ref="D81:D83" si="87">IF(AND(ISNUMBER(C81), ISNUMBER(C80)), C81-C80, "")</f>
        <v/>
      </c>
      <c r="E81" s="56"/>
      <c r="F81" s="66" t="str">
        <f t="shared" ref="F81:F83" si="88">IF(AND(ISNUMBER(E81), ISNUMBER(E80)), E81-E80, "")</f>
        <v/>
      </c>
      <c r="G81" s="56"/>
      <c r="H81" s="66" t="str">
        <f t="shared" ref="H81:H83" si="89">IF(AND(ISNUMBER(G81), ISNUMBER(G80)), G81-G80, "")</f>
        <v/>
      </c>
      <c r="I81" s="56"/>
      <c r="J81" s="66" t="str">
        <f t="shared" ref="J81:J83" si="90">IF(AND(ISNUMBER(I81), ISNUMBER(I80)), I81-I80, "")</f>
        <v/>
      </c>
      <c r="K81" s="56"/>
      <c r="L81" s="66" t="str">
        <f t="shared" ref="L81:L83" si="91">IF(AND(ISNUMBER(K81), ISNUMBER(K80)), K81-K80, "")</f>
        <v/>
      </c>
      <c r="M81" s="56"/>
      <c r="N81" s="66" t="str">
        <f t="shared" ref="N81:N83" si="92">IF(AND(ISNUMBER(M81), ISNUMBER(M80)), M81-M80, "")</f>
        <v/>
      </c>
      <c r="O81" s="45"/>
      <c r="P81" s="28"/>
      <c r="Q81" s="60" t="str">
        <f t="shared" si="86"/>
        <v>---</v>
      </c>
      <c r="R81" s="60" t="str">
        <f>IF(OR(C81=0, C81=""), "---", ROUND(IF($B$3="mężczyzna", (10*C81 + 6.25*$D$3 - 5*$C$3 + 5)*P80, (10*C81 + 6.25*$D$3 - 5*$C$3 - 161)*P80), 0))</f>
        <v>---</v>
      </c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</row>
    <row r="82">
      <c r="A82" s="45"/>
      <c r="B82" s="56"/>
      <c r="C82" s="56"/>
      <c r="D82" s="66" t="str">
        <f t="shared" si="87"/>
        <v/>
      </c>
      <c r="E82" s="56"/>
      <c r="F82" s="66" t="str">
        <f t="shared" si="88"/>
        <v/>
      </c>
      <c r="G82" s="56"/>
      <c r="H82" s="66" t="str">
        <f t="shared" si="89"/>
        <v/>
      </c>
      <c r="I82" s="56"/>
      <c r="J82" s="66" t="str">
        <f t="shared" si="90"/>
        <v/>
      </c>
      <c r="K82" s="56"/>
      <c r="L82" s="66" t="str">
        <f t="shared" si="91"/>
        <v/>
      </c>
      <c r="M82" s="56"/>
      <c r="N82" s="66" t="str">
        <f t="shared" si="92"/>
        <v/>
      </c>
      <c r="O82" s="45"/>
      <c r="P82" s="28"/>
      <c r="Q82" s="60" t="str">
        <f t="shared" si="86"/>
        <v>---</v>
      </c>
      <c r="R82" s="60" t="str">
        <f>IF(OR(C82=0, C82=""), "---", ROUND(IF($B$3="mężczyzna", (10*C82 + 6.25*$D$3 - 5*$C$3 + 5)*P80, (10*C82 + 6.25*$D$3 - 5*$C$3 - 161)*P80), 0))</f>
        <v>---</v>
      </c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</row>
    <row r="83">
      <c r="A83" s="45"/>
      <c r="B83" s="56"/>
      <c r="C83" s="56"/>
      <c r="D83" s="66" t="str">
        <f t="shared" si="87"/>
        <v/>
      </c>
      <c r="E83" s="56"/>
      <c r="F83" s="66" t="str">
        <f t="shared" si="88"/>
        <v/>
      </c>
      <c r="G83" s="56"/>
      <c r="H83" s="66" t="str">
        <f t="shared" si="89"/>
        <v/>
      </c>
      <c r="I83" s="56"/>
      <c r="J83" s="66" t="str">
        <f t="shared" si="90"/>
        <v/>
      </c>
      <c r="K83" s="56"/>
      <c r="L83" s="66" t="str">
        <f t="shared" si="91"/>
        <v/>
      </c>
      <c r="M83" s="56"/>
      <c r="N83" s="66" t="str">
        <f t="shared" si="92"/>
        <v/>
      </c>
      <c r="O83" s="45"/>
      <c r="P83" s="30"/>
      <c r="Q83" s="60" t="str">
        <f t="shared" si="86"/>
        <v>---</v>
      </c>
      <c r="R83" s="60" t="str">
        <f>IF(OR(C83=0, C83=""), "---", ROUND(IF($B$3="mężczyzna", (10*C83 + 6.25*$D$3 - 5*$C$3 + 5)*P80, (10*C83 + 6.25*$D$3 - 5*$C$3 - 161)*P80), 0))</f>
        <v>---</v>
      </c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</row>
    <row r="84">
      <c r="A84" s="45"/>
      <c r="B84" s="62" t="s">
        <v>118</v>
      </c>
      <c r="C84" s="68"/>
      <c r="D84" s="62" t="str">
        <f>IF(AND(ISNUMBER(C80), ISNUMBER(C83)), -(C80-C83), "---")
</f>
        <v>---</v>
      </c>
      <c r="E84" s="68"/>
      <c r="F84" s="62" t="str">
        <f>IF(AND(ISNUMBER(E80), ISNUMBER(E83)), -(E80-E83), "---")
</f>
        <v>---</v>
      </c>
      <c r="G84" s="68"/>
      <c r="H84" s="62" t="str">
        <f>IF(AND(ISNUMBER(G80), ISNUMBER(G83)), -(G80-G83), "---")
</f>
        <v>---</v>
      </c>
      <c r="I84" s="68"/>
      <c r="J84" s="62" t="str">
        <f>IF(AND(ISNUMBER(I80), ISNUMBER(I83)), -(I80-I83), "---")
</f>
        <v>---</v>
      </c>
      <c r="K84" s="68"/>
      <c r="L84" s="62" t="str">
        <f>IF(AND(ISNUMBER(K80), ISNUMBER(K83)), -(K80-K83), "---")
</f>
        <v>---</v>
      </c>
      <c r="M84" s="68"/>
      <c r="N84" s="62" t="str">
        <f>IF(AND(ISNUMBER(M80), ISNUMBER(M83)), -(M80-M83), "---")
</f>
        <v>---</v>
      </c>
      <c r="O84" s="45"/>
      <c r="P84" s="45"/>
      <c r="Q84" s="69"/>
      <c r="R84" s="69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</row>
    <row r="85">
      <c r="A85" s="45"/>
      <c r="B85" s="61"/>
      <c r="C85" s="56"/>
      <c r="D85" s="66" t="str">
        <f>IF(AND(ISNUMBER(C85), ISNUMBER(C83)), C85-C83, "")</f>
        <v/>
      </c>
      <c r="E85" s="56"/>
      <c r="F85" s="66" t="str">
        <f>IF(AND(ISNUMBER(E85), ISNUMBER(E83)), E85-E83, "")</f>
        <v/>
      </c>
      <c r="G85" s="56"/>
      <c r="H85" s="66" t="str">
        <f>IF(AND(ISNUMBER(G85), ISNUMBER(G83)), G85-G83, "")</f>
        <v/>
      </c>
      <c r="I85" s="56"/>
      <c r="J85" s="66" t="str">
        <f>IF(AND(ISNUMBER(I85), ISNUMBER(I83)), I85-I83, "")</f>
        <v/>
      </c>
      <c r="K85" s="56"/>
      <c r="L85" s="66" t="str">
        <f>IF(AND(ISNUMBER(K85), ISNUMBER(K83)), K85-K83, "")</f>
        <v/>
      </c>
      <c r="M85" s="56"/>
      <c r="N85" s="66" t="str">
        <f>IF(AND(ISNUMBER(M85), ISNUMBER(M83)), M85-M83, "")</f>
        <v/>
      </c>
      <c r="O85" s="45"/>
      <c r="P85" s="67" t="s">
        <v>124</v>
      </c>
      <c r="Q85" s="60" t="str">
        <f t="shared" ref="Q85:Q88" si="93">IF(OR(C85=0, C85=""), "---", ROUND(C85 / (($D$3/100)^2), 2))
</f>
        <v>---</v>
      </c>
      <c r="R85" s="60" t="str">
        <f>IF(OR(C85=0, C85=""), "---", ROUND(IF($B$3="mężczyzna", (10*C85 + 6.25*$D$3 - 5*$C$3 + 5)*P85, (10*C85 + 6.25*$D$3 - 5*$C$3 - 161)*P85), 0))</f>
        <v>---</v>
      </c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</row>
    <row r="86">
      <c r="A86" s="45"/>
      <c r="B86" s="56"/>
      <c r="C86" s="56"/>
      <c r="D86" s="66" t="str">
        <f t="shared" ref="D86:D88" si="94">IF(AND(ISNUMBER(C86), ISNUMBER(C85)), C86-C85, "")</f>
        <v/>
      </c>
      <c r="E86" s="56"/>
      <c r="F86" s="66" t="str">
        <f t="shared" ref="F86:F88" si="95">IF(AND(ISNUMBER(E86), ISNUMBER(E85)), E86-E85, "")</f>
        <v/>
      </c>
      <c r="G86" s="56"/>
      <c r="H86" s="66" t="str">
        <f t="shared" ref="H86:H88" si="96">IF(AND(ISNUMBER(G86), ISNUMBER(G85)), G86-G85, "")</f>
        <v/>
      </c>
      <c r="I86" s="56"/>
      <c r="J86" s="66" t="str">
        <f t="shared" ref="J86:J88" si="97">IF(AND(ISNUMBER(I86), ISNUMBER(I85)), I86-I85, "")</f>
        <v/>
      </c>
      <c r="K86" s="56"/>
      <c r="L86" s="66" t="str">
        <f t="shared" ref="L86:L88" si="98">IF(AND(ISNUMBER(K86), ISNUMBER(K85)), K86-K85, "")</f>
        <v/>
      </c>
      <c r="M86" s="56"/>
      <c r="N86" s="66" t="str">
        <f t="shared" ref="N86:N88" si="99">IF(AND(ISNUMBER(M86), ISNUMBER(M85)), M86-M85, "")</f>
        <v/>
      </c>
      <c r="O86" s="45"/>
      <c r="P86" s="28"/>
      <c r="Q86" s="60" t="str">
        <f t="shared" si="93"/>
        <v>---</v>
      </c>
      <c r="R86" s="60" t="str">
        <f>IF(OR(C86=0, C86=""), "---", ROUND(IF($B$3="mężczyzna", (10*C86 + 6.25*$D$3 - 5*$C$3 + 5)*P85, (10*C86 + 6.25*$D$3 - 5*$C$3 - 161)*P85), 0))</f>
        <v>---</v>
      </c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</row>
    <row r="87">
      <c r="A87" s="45"/>
      <c r="B87" s="56"/>
      <c r="C87" s="56"/>
      <c r="D87" s="66" t="str">
        <f t="shared" si="94"/>
        <v/>
      </c>
      <c r="E87" s="56"/>
      <c r="F87" s="66" t="str">
        <f t="shared" si="95"/>
        <v/>
      </c>
      <c r="G87" s="56"/>
      <c r="H87" s="66" t="str">
        <f t="shared" si="96"/>
        <v/>
      </c>
      <c r="I87" s="56"/>
      <c r="J87" s="66" t="str">
        <f t="shared" si="97"/>
        <v/>
      </c>
      <c r="K87" s="56"/>
      <c r="L87" s="66" t="str">
        <f t="shared" si="98"/>
        <v/>
      </c>
      <c r="M87" s="56"/>
      <c r="N87" s="66" t="str">
        <f t="shared" si="99"/>
        <v/>
      </c>
      <c r="O87" s="45"/>
      <c r="P87" s="28"/>
      <c r="Q87" s="60" t="str">
        <f t="shared" si="93"/>
        <v>---</v>
      </c>
      <c r="R87" s="60" t="str">
        <f>IF(OR(C87=0, C87=""), "---", ROUND(IF($B$3="mężczyzna", (10*C87 + 6.25*$D$3 - 5*$C$3 + 5)*P85, (10*C87 + 6.25*$D$3 - 5*$C$3 - 161)*P85), 0))</f>
        <v>---</v>
      </c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</row>
    <row r="88">
      <c r="A88" s="45"/>
      <c r="B88" s="56"/>
      <c r="C88" s="56"/>
      <c r="D88" s="66" t="str">
        <f t="shared" si="94"/>
        <v/>
      </c>
      <c r="E88" s="56"/>
      <c r="F88" s="66" t="str">
        <f t="shared" si="95"/>
        <v/>
      </c>
      <c r="G88" s="56"/>
      <c r="H88" s="66" t="str">
        <f t="shared" si="96"/>
        <v/>
      </c>
      <c r="I88" s="56"/>
      <c r="J88" s="66" t="str">
        <f t="shared" si="97"/>
        <v/>
      </c>
      <c r="K88" s="56"/>
      <c r="L88" s="66" t="str">
        <f t="shared" si="98"/>
        <v/>
      </c>
      <c r="M88" s="56"/>
      <c r="N88" s="66" t="str">
        <f t="shared" si="99"/>
        <v/>
      </c>
      <c r="O88" s="45"/>
      <c r="P88" s="30"/>
      <c r="Q88" s="60" t="str">
        <f t="shared" si="93"/>
        <v>---</v>
      </c>
      <c r="R88" s="60" t="str">
        <f>IF(OR(C88=0, C88=""), "---", ROUND(IF($B$3="mężczyzna", (10*C88 + 6.25*$D$3 - 5*$C$3 + 5)*P85, (10*C88 + 6.25*$D$3 - 5*$C$3 - 161)*P85), 0))</f>
        <v>---</v>
      </c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</row>
    <row r="89">
      <c r="A89" s="45"/>
      <c r="B89" s="62" t="s">
        <v>118</v>
      </c>
      <c r="C89" s="68"/>
      <c r="D89" s="62" t="str">
        <f>IF(AND(ISNUMBER(C85), ISNUMBER(C88)), -(C85-C88), "---")
</f>
        <v>---</v>
      </c>
      <c r="E89" s="68"/>
      <c r="F89" s="62" t="str">
        <f>IF(AND(ISNUMBER(E85), ISNUMBER(E88)), -(E85-E88), "---")
</f>
        <v>---</v>
      </c>
      <c r="G89" s="68"/>
      <c r="H89" s="62" t="str">
        <f>IF(AND(ISNUMBER(G85), ISNUMBER(G88)), -(G85-G88), "---")
</f>
        <v>---</v>
      </c>
      <c r="I89" s="68"/>
      <c r="J89" s="62" t="str">
        <f>IF(AND(ISNUMBER(I85), ISNUMBER(I88)), -(I85-I88), "---")
</f>
        <v>---</v>
      </c>
      <c r="K89" s="68"/>
      <c r="L89" s="62" t="str">
        <f>IF(AND(ISNUMBER(K85), ISNUMBER(K88)), -(K85-K88), "---")
</f>
        <v>---</v>
      </c>
      <c r="M89" s="68"/>
      <c r="N89" s="62" t="str">
        <f>IF(AND(ISNUMBER(M85), ISNUMBER(M88)), -(M85-M88), "---")
</f>
        <v>---</v>
      </c>
      <c r="O89" s="45"/>
      <c r="P89" s="45"/>
      <c r="Q89" s="69"/>
      <c r="R89" s="69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</row>
    <row r="90">
      <c r="A90" s="45"/>
      <c r="B90" s="61"/>
      <c r="C90" s="56"/>
      <c r="D90" s="66" t="str">
        <f>IF(AND(ISNUMBER(C90), ISNUMBER(C88)), C90-C88, "")</f>
        <v/>
      </c>
      <c r="E90" s="56"/>
      <c r="F90" s="66" t="str">
        <f>IF(AND(ISNUMBER(E90), ISNUMBER(E88)), E90-E88, "")</f>
        <v/>
      </c>
      <c r="G90" s="56"/>
      <c r="H90" s="66" t="str">
        <f>IF(AND(ISNUMBER(G90), ISNUMBER(G88)), G90-G88, "")</f>
        <v/>
      </c>
      <c r="I90" s="56"/>
      <c r="J90" s="66" t="str">
        <f>IF(AND(ISNUMBER(I90), ISNUMBER(I88)), I90-I88, "")</f>
        <v/>
      </c>
      <c r="K90" s="56"/>
      <c r="L90" s="66" t="str">
        <f>IF(AND(ISNUMBER(K90), ISNUMBER(K88)), K90-K88, "")</f>
        <v/>
      </c>
      <c r="M90" s="56"/>
      <c r="N90" s="66" t="str">
        <f>IF(AND(ISNUMBER(M90), ISNUMBER(M88)), M90-M88, "")</f>
        <v/>
      </c>
      <c r="O90" s="45"/>
      <c r="P90" s="67" t="s">
        <v>124</v>
      </c>
      <c r="Q90" s="60" t="str">
        <f t="shared" ref="Q90:Q93" si="100">IF(OR(C90=0, C90=""), "---", ROUND(C90 / (($D$3/100)^2), 2))
</f>
        <v>---</v>
      </c>
      <c r="R90" s="60" t="str">
        <f>IF(OR(C90=0, C90=""), "---", ROUND(IF($B$3="mężczyzna", (10*C90 + 6.25*$D$3 - 5*$C$3 + 5)*P90, (10*C90 + 6.25*$D$3 - 5*$C$3 - 161)*P90), 0))</f>
        <v>---</v>
      </c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</row>
    <row r="91">
      <c r="A91" s="45"/>
      <c r="B91" s="56"/>
      <c r="C91" s="56"/>
      <c r="D91" s="66" t="str">
        <f t="shared" ref="D91:D93" si="101">IF(AND(ISNUMBER(C91), ISNUMBER(C90)), C91-C90, "")</f>
        <v/>
      </c>
      <c r="E91" s="56"/>
      <c r="F91" s="66" t="str">
        <f t="shared" ref="F91:F93" si="102">IF(AND(ISNUMBER(E91), ISNUMBER(E90)), E91-E90, "")</f>
        <v/>
      </c>
      <c r="G91" s="56"/>
      <c r="H91" s="66" t="str">
        <f t="shared" ref="H91:H93" si="103">IF(AND(ISNUMBER(G91), ISNUMBER(G90)), G91-G90, "")</f>
        <v/>
      </c>
      <c r="I91" s="56"/>
      <c r="J91" s="66" t="str">
        <f t="shared" ref="J91:J93" si="104">IF(AND(ISNUMBER(I91), ISNUMBER(I90)), I91-I90, "")</f>
        <v/>
      </c>
      <c r="K91" s="56"/>
      <c r="L91" s="66" t="str">
        <f t="shared" ref="L91:L93" si="105">IF(AND(ISNUMBER(K91), ISNUMBER(K90)), K91-K90, "")</f>
        <v/>
      </c>
      <c r="M91" s="56"/>
      <c r="N91" s="66" t="str">
        <f t="shared" ref="N91:N93" si="106">IF(AND(ISNUMBER(M91), ISNUMBER(M90)), M91-M90, "")</f>
        <v/>
      </c>
      <c r="O91" s="45"/>
      <c r="P91" s="28"/>
      <c r="Q91" s="60" t="str">
        <f t="shared" si="100"/>
        <v>---</v>
      </c>
      <c r="R91" s="60" t="str">
        <f>IF(OR(C91=0, C91=""), "---", ROUND(IF($B$3="mężczyzna", (10*C91 + 6.25*$D$3 - 5*$C$3 + 5)*P90, (10*C91 + 6.25*$D$3 - 5*$C$3 - 161)*P90), 0))</f>
        <v>---</v>
      </c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</row>
    <row r="92">
      <c r="A92" s="45"/>
      <c r="B92" s="56"/>
      <c r="C92" s="56"/>
      <c r="D92" s="66" t="str">
        <f t="shared" si="101"/>
        <v/>
      </c>
      <c r="E92" s="56"/>
      <c r="F92" s="66" t="str">
        <f t="shared" si="102"/>
        <v/>
      </c>
      <c r="G92" s="56"/>
      <c r="H92" s="66" t="str">
        <f t="shared" si="103"/>
        <v/>
      </c>
      <c r="I92" s="56"/>
      <c r="J92" s="66" t="str">
        <f t="shared" si="104"/>
        <v/>
      </c>
      <c r="K92" s="56"/>
      <c r="L92" s="66" t="str">
        <f t="shared" si="105"/>
        <v/>
      </c>
      <c r="M92" s="56"/>
      <c r="N92" s="66" t="str">
        <f t="shared" si="106"/>
        <v/>
      </c>
      <c r="O92" s="45"/>
      <c r="P92" s="28"/>
      <c r="Q92" s="60" t="str">
        <f t="shared" si="100"/>
        <v>---</v>
      </c>
      <c r="R92" s="60" t="str">
        <f>IF(OR(C92=0, C92=""), "---", ROUND(IF($B$3="mężczyzna", (10*C92 + 6.25*$D$3 - 5*$C$3 + 5)*P90, (10*C92 + 6.25*$D$3 - 5*$C$3 - 161)*P90), 0))</f>
        <v>---</v>
      </c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</row>
    <row r="93">
      <c r="A93" s="45"/>
      <c r="B93" s="56"/>
      <c r="C93" s="56"/>
      <c r="D93" s="66" t="str">
        <f t="shared" si="101"/>
        <v/>
      </c>
      <c r="E93" s="56"/>
      <c r="F93" s="66" t="str">
        <f t="shared" si="102"/>
        <v/>
      </c>
      <c r="G93" s="56"/>
      <c r="H93" s="66" t="str">
        <f t="shared" si="103"/>
        <v/>
      </c>
      <c r="I93" s="56"/>
      <c r="J93" s="66" t="str">
        <f t="shared" si="104"/>
        <v/>
      </c>
      <c r="K93" s="56"/>
      <c r="L93" s="66" t="str">
        <f t="shared" si="105"/>
        <v/>
      </c>
      <c r="M93" s="56"/>
      <c r="N93" s="66" t="str">
        <f t="shared" si="106"/>
        <v/>
      </c>
      <c r="O93" s="45"/>
      <c r="P93" s="30"/>
      <c r="Q93" s="60" t="str">
        <f t="shared" si="100"/>
        <v>---</v>
      </c>
      <c r="R93" s="60" t="str">
        <f>IF(OR(C93=0, C93=""), "---", ROUND(IF($B$3="mężczyzna", (10*C93 + 6.25*$D$3 - 5*$C$3 + 5)*P90, (10*C93 + 6.25*$D$3 - 5*$C$3 - 161)*P90), 0))</f>
        <v>---</v>
      </c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</row>
    <row r="94">
      <c r="A94" s="45"/>
      <c r="B94" s="62" t="s">
        <v>118</v>
      </c>
      <c r="C94" s="68"/>
      <c r="D94" s="62" t="str">
        <f>IF(AND(ISNUMBER(C90), ISNUMBER(C93)), -(C90-C93), "---")
</f>
        <v>---</v>
      </c>
      <c r="E94" s="68"/>
      <c r="F94" s="62" t="str">
        <f>IF(AND(ISNUMBER(E90), ISNUMBER(E93)), -(E90-E93), "---")
</f>
        <v>---</v>
      </c>
      <c r="G94" s="68"/>
      <c r="H94" s="62" t="str">
        <f>IF(AND(ISNUMBER(G90), ISNUMBER(G93)), -(G90-G93), "---")
</f>
        <v>---</v>
      </c>
      <c r="I94" s="68"/>
      <c r="J94" s="62" t="str">
        <f>IF(AND(ISNUMBER(I90), ISNUMBER(I93)), -(I90-I93), "---")
</f>
        <v>---</v>
      </c>
      <c r="K94" s="68"/>
      <c r="L94" s="62" t="str">
        <f>IF(AND(ISNUMBER(K90), ISNUMBER(K93)), -(K90-K93), "---")
</f>
        <v>---</v>
      </c>
      <c r="M94" s="68"/>
      <c r="N94" s="62" t="str">
        <f>IF(AND(ISNUMBER(M90), ISNUMBER(M93)), -(M90-M93), "---")
</f>
        <v>---</v>
      </c>
      <c r="O94" s="45"/>
      <c r="P94" s="45"/>
      <c r="Q94" s="69"/>
      <c r="R94" s="69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</row>
    <row r="1004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</row>
    <row r="100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</row>
    <row r="1006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</row>
    <row r="1007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</row>
    <row r="1008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</row>
    <row r="1009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</row>
    <row r="1010">
      <c r="A1010" s="45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</row>
    <row r="1011">
      <c r="A1011" s="45"/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</row>
    <row r="1012">
      <c r="A1012" s="45"/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  <c r="AE1012" s="45"/>
      <c r="AF1012" s="45"/>
    </row>
    <row r="1013">
      <c r="A1013" s="45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</row>
  </sheetData>
  <mergeCells count="15">
    <mergeCell ref="P55:P58"/>
    <mergeCell ref="P60:P63"/>
    <mergeCell ref="P65:P68"/>
    <mergeCell ref="P70:P73"/>
    <mergeCell ref="P75:P78"/>
    <mergeCell ref="P80:P83"/>
    <mergeCell ref="P85:P88"/>
    <mergeCell ref="P90:P93"/>
    <mergeCell ref="P16:P20"/>
    <mergeCell ref="P22:P25"/>
    <mergeCell ref="P27:P31"/>
    <mergeCell ref="P35:P38"/>
    <mergeCell ref="P40:P43"/>
    <mergeCell ref="P45:P48"/>
    <mergeCell ref="P50:P5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53.13"/>
    <col customWidth="1" min="3" max="3" width="8.75"/>
    <col customWidth="1" min="4" max="4" width="29.5"/>
    <col customWidth="1" min="5" max="5" width="10.88"/>
    <col customWidth="1" min="6" max="6" width="15.38"/>
    <col customWidth="1" min="7" max="7" width="8.38"/>
    <col customWidth="1" min="8" max="8" width="34.13"/>
    <col customWidth="1" min="9" max="14" width="18.88"/>
  </cols>
  <sheetData>
    <row r="1" ht="15.75" customHeight="1">
      <c r="A1" s="1"/>
    </row>
    <row r="2" ht="30.0" customHeight="1">
      <c r="A2" s="2" t="s">
        <v>0</v>
      </c>
      <c r="B2" s="3"/>
      <c r="H2" s="70"/>
      <c r="I2" s="4"/>
      <c r="J2" s="4"/>
      <c r="K2" s="4"/>
      <c r="L2" s="4"/>
      <c r="M2" s="4"/>
      <c r="N2" s="4"/>
    </row>
    <row r="3" ht="30.0" customHeight="1">
      <c r="A3" s="71">
        <v>45986.0</v>
      </c>
      <c r="B3" s="6"/>
      <c r="C3" s="6"/>
      <c r="D3" s="6"/>
      <c r="E3" s="6"/>
      <c r="F3" s="6"/>
      <c r="I3" s="4"/>
      <c r="J3" s="4"/>
      <c r="K3" s="4"/>
      <c r="L3" s="4"/>
      <c r="M3" s="4"/>
      <c r="N3" s="4"/>
    </row>
    <row r="4" ht="30.0" customHeight="1">
      <c r="I4" s="4"/>
      <c r="J4" s="4"/>
      <c r="K4" s="4"/>
      <c r="L4" s="4"/>
      <c r="M4" s="4"/>
      <c r="N4" s="4"/>
    </row>
    <row r="5" ht="30.0" customHeight="1">
      <c r="A5" s="72"/>
      <c r="B5" s="73" t="s">
        <v>127</v>
      </c>
      <c r="C5" s="12"/>
      <c r="D5" s="12"/>
      <c r="E5" s="12"/>
      <c r="F5" s="12"/>
      <c r="G5" s="12"/>
      <c r="H5" s="13"/>
      <c r="I5" s="4" t="s">
        <v>128</v>
      </c>
    </row>
    <row r="6" ht="37.5" customHeight="1">
      <c r="A6" s="30"/>
      <c r="B6" s="74" t="s">
        <v>4</v>
      </c>
      <c r="C6" s="74" t="s">
        <v>5</v>
      </c>
      <c r="D6" s="74" t="s">
        <v>129</v>
      </c>
      <c r="E6" s="74" t="s">
        <v>130</v>
      </c>
      <c r="F6" s="74" t="s">
        <v>131</v>
      </c>
      <c r="G6" s="74" t="s">
        <v>132</v>
      </c>
      <c r="H6" s="74" t="s">
        <v>133</v>
      </c>
    </row>
    <row r="7" ht="37.5" customHeight="1">
      <c r="A7" s="75"/>
      <c r="B7" s="76" t="s">
        <v>134</v>
      </c>
      <c r="C7" s="77"/>
      <c r="D7" s="77"/>
      <c r="E7" s="78"/>
      <c r="F7" s="78"/>
      <c r="G7" s="78"/>
      <c r="H7" s="78"/>
    </row>
    <row r="8" ht="37.5" customHeight="1">
      <c r="A8" s="28"/>
      <c r="B8" s="76" t="s">
        <v>135</v>
      </c>
      <c r="C8" s="77"/>
      <c r="D8" s="77"/>
      <c r="E8" s="79"/>
      <c r="F8" s="78"/>
      <c r="G8" s="78"/>
      <c r="H8" s="78"/>
    </row>
    <row r="9" ht="37.5" customHeight="1">
      <c r="A9" s="30"/>
      <c r="B9" s="76" t="s">
        <v>136</v>
      </c>
      <c r="C9" s="77"/>
      <c r="D9" s="77"/>
      <c r="E9" s="79"/>
      <c r="F9" s="78"/>
      <c r="G9" s="78"/>
      <c r="H9" s="78"/>
    </row>
    <row r="10" ht="30.0" customHeight="1">
      <c r="A10" s="10"/>
      <c r="B10" s="11" t="s">
        <v>1</v>
      </c>
      <c r="C10" s="12"/>
      <c r="D10" s="12"/>
      <c r="E10" s="12"/>
      <c r="F10" s="12"/>
      <c r="G10" s="12"/>
      <c r="H10" s="13"/>
      <c r="I10" s="14" t="s">
        <v>2</v>
      </c>
      <c r="J10" s="12"/>
      <c r="K10" s="12"/>
      <c r="L10" s="12"/>
      <c r="M10" s="12"/>
      <c r="N10" s="12"/>
    </row>
    <row r="11" ht="37.5" customHeight="1">
      <c r="B11" s="16" t="s">
        <v>4</v>
      </c>
      <c r="C11" s="16" t="s">
        <v>5</v>
      </c>
      <c r="D11" s="16" t="s">
        <v>129</v>
      </c>
      <c r="E11" s="16" t="s">
        <v>130</v>
      </c>
      <c r="F11" s="16" t="s">
        <v>131</v>
      </c>
      <c r="G11" s="16" t="s">
        <v>137</v>
      </c>
      <c r="H11" s="16" t="s">
        <v>133</v>
      </c>
      <c r="I11" s="16" t="s">
        <v>138</v>
      </c>
      <c r="J11" s="16" t="s">
        <v>139</v>
      </c>
      <c r="K11" s="16" t="s">
        <v>140</v>
      </c>
      <c r="L11" s="16" t="s">
        <v>141</v>
      </c>
      <c r="M11" s="16" t="s">
        <v>142</v>
      </c>
      <c r="N11" s="16" t="s">
        <v>143</v>
      </c>
      <c r="O11" s="20"/>
    </row>
    <row r="12" ht="37.5" customHeight="1">
      <c r="A12" s="80" t="s">
        <v>144</v>
      </c>
      <c r="B12" s="81" t="s">
        <v>145</v>
      </c>
      <c r="C12" s="24" t="s">
        <v>9</v>
      </c>
      <c r="D12" s="24" t="s">
        <v>16</v>
      </c>
      <c r="E12" s="24" t="s">
        <v>9</v>
      </c>
      <c r="F12" s="82"/>
      <c r="G12" s="82"/>
      <c r="H12" s="34"/>
      <c r="I12" s="25" t="s">
        <v>146</v>
      </c>
      <c r="J12" s="25" t="s">
        <v>147</v>
      </c>
      <c r="K12" s="25" t="s">
        <v>29</v>
      </c>
      <c r="L12" s="25" t="s">
        <v>29</v>
      </c>
      <c r="M12" s="25" t="s">
        <v>29</v>
      </c>
      <c r="N12" s="25" t="s">
        <v>17</v>
      </c>
      <c r="O12" s="20"/>
    </row>
    <row r="13" ht="37.5" customHeight="1">
      <c r="A13" s="28"/>
      <c r="B13" s="81" t="s">
        <v>23</v>
      </c>
      <c r="C13" s="24" t="s">
        <v>9</v>
      </c>
      <c r="D13" s="24" t="s">
        <v>16</v>
      </c>
      <c r="E13" s="24" t="s">
        <v>9</v>
      </c>
      <c r="F13" s="82"/>
      <c r="G13" s="82"/>
      <c r="H13" s="34"/>
      <c r="I13" s="25" t="s">
        <v>148</v>
      </c>
      <c r="J13" s="25" t="s">
        <v>77</v>
      </c>
      <c r="K13" s="25" t="s">
        <v>71</v>
      </c>
      <c r="L13" s="25" t="s">
        <v>149</v>
      </c>
      <c r="M13" s="25" t="s">
        <v>73</v>
      </c>
      <c r="N13" s="25" t="s">
        <v>73</v>
      </c>
      <c r="O13" s="20"/>
    </row>
    <row r="14" ht="37.5" customHeight="1">
      <c r="A14" s="28"/>
      <c r="B14" s="81" t="s">
        <v>150</v>
      </c>
      <c r="C14" s="24" t="s">
        <v>9</v>
      </c>
      <c r="D14" s="24" t="s">
        <v>151</v>
      </c>
      <c r="E14" s="24" t="s">
        <v>9</v>
      </c>
      <c r="F14" s="82"/>
      <c r="G14" s="82"/>
      <c r="H14" s="34"/>
      <c r="I14" s="25" t="s">
        <v>146</v>
      </c>
      <c r="J14" s="25" t="s">
        <v>147</v>
      </c>
      <c r="K14" s="25" t="s">
        <v>147</v>
      </c>
      <c r="L14" s="25" t="s">
        <v>147</v>
      </c>
      <c r="M14" s="25" t="s">
        <v>147</v>
      </c>
      <c r="N14" s="25" t="s">
        <v>147</v>
      </c>
      <c r="O14" s="20"/>
    </row>
    <row r="15" ht="37.5" customHeight="1">
      <c r="A15" s="28"/>
      <c r="B15" s="81" t="s">
        <v>152</v>
      </c>
      <c r="C15" s="24" t="s">
        <v>9</v>
      </c>
      <c r="D15" s="24" t="s">
        <v>16</v>
      </c>
      <c r="E15" s="24" t="s">
        <v>9</v>
      </c>
      <c r="F15" s="82"/>
      <c r="G15" s="82"/>
      <c r="H15" s="34"/>
      <c r="I15" s="25" t="s">
        <v>73</v>
      </c>
      <c r="J15" s="25" t="s">
        <v>73</v>
      </c>
      <c r="K15" s="25" t="s">
        <v>73</v>
      </c>
      <c r="L15" s="25" t="s">
        <v>26</v>
      </c>
      <c r="M15" s="25" t="s">
        <v>58</v>
      </c>
      <c r="N15" s="25" t="s">
        <v>26</v>
      </c>
      <c r="O15" s="20"/>
    </row>
    <row r="16" ht="37.5" customHeight="1">
      <c r="A16" s="30"/>
      <c r="B16" s="81" t="s">
        <v>153</v>
      </c>
      <c r="C16" s="24" t="s">
        <v>8</v>
      </c>
      <c r="D16" s="24" t="s">
        <v>92</v>
      </c>
      <c r="E16" s="24" t="s">
        <v>9</v>
      </c>
      <c r="F16" s="82"/>
      <c r="G16" s="82"/>
      <c r="H16" s="34"/>
      <c r="I16" s="25" t="s">
        <v>26</v>
      </c>
      <c r="J16" s="25" t="s">
        <v>26</v>
      </c>
      <c r="K16" s="25" t="s">
        <v>26</v>
      </c>
      <c r="L16" s="25" t="s">
        <v>26</v>
      </c>
      <c r="M16" s="25" t="s">
        <v>26</v>
      </c>
      <c r="N16" s="25" t="s">
        <v>26</v>
      </c>
      <c r="O16" s="20"/>
    </row>
    <row r="17" ht="22.5" customHeight="1">
      <c r="A17" s="80" t="s">
        <v>154</v>
      </c>
      <c r="B17" s="83" t="s">
        <v>155</v>
      </c>
      <c r="C17" s="83" t="s">
        <v>9</v>
      </c>
      <c r="D17" s="84"/>
      <c r="E17" s="83" t="s">
        <v>156</v>
      </c>
      <c r="F17" s="84"/>
      <c r="G17" s="84"/>
      <c r="H17" s="85"/>
      <c r="I17" s="86" t="s">
        <v>157</v>
      </c>
      <c r="J17" s="86" t="s">
        <v>158</v>
      </c>
      <c r="K17" s="86" t="s">
        <v>159</v>
      </c>
      <c r="L17" s="86" t="s">
        <v>159</v>
      </c>
      <c r="M17" s="86" t="s">
        <v>159</v>
      </c>
      <c r="N17" s="86" t="s">
        <v>159</v>
      </c>
    </row>
    <row r="18" ht="22.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</row>
    <row r="19" ht="15.75" customHeight="1">
      <c r="A19" s="31"/>
      <c r="B19" s="31"/>
      <c r="C19" s="31"/>
      <c r="D19" s="31"/>
      <c r="E19" s="31"/>
      <c r="F19" s="31"/>
      <c r="G19" s="31"/>
      <c r="H19" s="87"/>
      <c r="I19" s="32"/>
      <c r="J19" s="32"/>
      <c r="K19" s="32"/>
      <c r="L19" s="32"/>
      <c r="M19" s="32"/>
      <c r="N19" s="32"/>
    </row>
    <row r="20" ht="1.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</row>
    <row r="21" ht="30.0" customHeight="1">
      <c r="A21" s="72"/>
      <c r="B21" s="73" t="s">
        <v>127</v>
      </c>
      <c r="C21" s="12"/>
      <c r="D21" s="12"/>
      <c r="E21" s="12"/>
      <c r="F21" s="12"/>
      <c r="G21" s="12"/>
      <c r="H21" s="13"/>
      <c r="I21" s="32"/>
      <c r="J21" s="32"/>
      <c r="K21" s="32"/>
      <c r="L21" s="32"/>
      <c r="M21" s="32"/>
      <c r="N21" s="32"/>
    </row>
    <row r="22" ht="37.5" customHeight="1">
      <c r="A22" s="30"/>
      <c r="B22" s="74" t="s">
        <v>4</v>
      </c>
      <c r="C22" s="74" t="s">
        <v>5</v>
      </c>
      <c r="D22" s="74" t="s">
        <v>129</v>
      </c>
      <c r="E22" s="74" t="s">
        <v>130</v>
      </c>
      <c r="F22" s="74" t="s">
        <v>131</v>
      </c>
      <c r="G22" s="16" t="s">
        <v>132</v>
      </c>
      <c r="H22" s="74" t="s">
        <v>133</v>
      </c>
      <c r="I22" s="32"/>
      <c r="J22" s="32"/>
      <c r="K22" s="32"/>
      <c r="L22" s="32"/>
      <c r="M22" s="32"/>
      <c r="N22" s="32"/>
    </row>
    <row r="23" ht="37.5" customHeight="1">
      <c r="A23" s="75"/>
      <c r="B23" s="88"/>
      <c r="C23" s="88"/>
      <c r="D23" s="88"/>
      <c r="E23" s="88"/>
      <c r="F23" s="88"/>
      <c r="G23" s="88"/>
      <c r="H23" s="88"/>
      <c r="I23" s="32"/>
      <c r="J23" s="32"/>
      <c r="K23" s="32"/>
      <c r="L23" s="32"/>
      <c r="M23" s="32"/>
      <c r="N23" s="32"/>
    </row>
    <row r="24" ht="37.5" customHeight="1">
      <c r="A24" s="28"/>
      <c r="B24" s="88"/>
      <c r="C24" s="88"/>
      <c r="D24" s="88"/>
      <c r="E24" s="88"/>
      <c r="F24" s="88"/>
      <c r="G24" s="88"/>
      <c r="H24" s="88"/>
      <c r="I24" s="32"/>
      <c r="J24" s="32"/>
      <c r="K24" s="32"/>
      <c r="L24" s="32"/>
      <c r="M24" s="32"/>
      <c r="N24" s="32"/>
    </row>
    <row r="25" ht="37.5" customHeight="1">
      <c r="A25" s="30"/>
      <c r="B25" s="88"/>
      <c r="C25" s="88"/>
      <c r="D25" s="88"/>
      <c r="E25" s="88"/>
      <c r="F25" s="88"/>
      <c r="G25" s="88"/>
      <c r="H25" s="88"/>
      <c r="I25" s="32"/>
      <c r="J25" s="32"/>
      <c r="K25" s="32"/>
      <c r="L25" s="32"/>
      <c r="M25" s="32"/>
      <c r="N25" s="32"/>
    </row>
    <row r="26" ht="30.0" customHeight="1">
      <c r="A26" s="10"/>
      <c r="B26" s="11" t="s">
        <v>48</v>
      </c>
      <c r="C26" s="12"/>
      <c r="D26" s="12"/>
      <c r="E26" s="12"/>
      <c r="F26" s="12"/>
      <c r="G26" s="12"/>
      <c r="H26" s="13"/>
      <c r="I26" s="14" t="s">
        <v>2</v>
      </c>
      <c r="J26" s="12"/>
      <c r="K26" s="12"/>
      <c r="L26" s="12"/>
      <c r="M26" s="12"/>
      <c r="N26" s="12"/>
    </row>
    <row r="27" ht="37.5" customHeight="1">
      <c r="B27" s="16" t="s">
        <v>4</v>
      </c>
      <c r="C27" s="16" t="s">
        <v>5</v>
      </c>
      <c r="D27" s="16" t="s">
        <v>129</v>
      </c>
      <c r="E27" s="16" t="s">
        <v>130</v>
      </c>
      <c r="F27" s="16" t="s">
        <v>131</v>
      </c>
      <c r="G27" s="16" t="s">
        <v>137</v>
      </c>
      <c r="H27" s="16" t="s">
        <v>133</v>
      </c>
      <c r="I27" s="16" t="s">
        <v>138</v>
      </c>
      <c r="J27" s="16" t="s">
        <v>139</v>
      </c>
      <c r="K27" s="16" t="s">
        <v>140</v>
      </c>
      <c r="L27" s="16" t="s">
        <v>141</v>
      </c>
      <c r="M27" s="16" t="s">
        <v>142</v>
      </c>
      <c r="N27" s="16" t="s">
        <v>143</v>
      </c>
    </row>
    <row r="28" ht="37.5" customHeight="1">
      <c r="A28" s="80" t="s">
        <v>144</v>
      </c>
      <c r="B28" s="81" t="s">
        <v>160</v>
      </c>
      <c r="C28" s="24" t="s">
        <v>9</v>
      </c>
      <c r="D28" s="24" t="s">
        <v>16</v>
      </c>
      <c r="E28" s="24" t="s">
        <v>9</v>
      </c>
      <c r="F28" s="82"/>
      <c r="G28" s="82"/>
      <c r="H28" s="34"/>
      <c r="I28" s="25" t="s">
        <v>161</v>
      </c>
      <c r="J28" s="25" t="s">
        <v>162</v>
      </c>
      <c r="K28" s="25" t="s">
        <v>26</v>
      </c>
      <c r="L28" s="25" t="s">
        <v>26</v>
      </c>
      <c r="M28" s="25" t="s">
        <v>26</v>
      </c>
      <c r="N28" s="25" t="s">
        <v>21</v>
      </c>
    </row>
    <row r="29" ht="37.5" customHeight="1">
      <c r="A29" s="28"/>
      <c r="B29" s="81" t="s">
        <v>49</v>
      </c>
      <c r="C29" s="24" t="s">
        <v>9</v>
      </c>
      <c r="D29" s="24" t="s">
        <v>163</v>
      </c>
      <c r="E29" s="24" t="s">
        <v>9</v>
      </c>
      <c r="F29" s="82"/>
      <c r="G29" s="82"/>
      <c r="H29" s="34"/>
      <c r="I29" s="25" t="s">
        <v>164</v>
      </c>
      <c r="J29" s="25" t="s">
        <v>37</v>
      </c>
      <c r="K29" s="25" t="s">
        <v>37</v>
      </c>
      <c r="L29" s="25" t="s">
        <v>89</v>
      </c>
      <c r="M29" s="25" t="s">
        <v>37</v>
      </c>
      <c r="N29" s="25" t="s">
        <v>37</v>
      </c>
    </row>
    <row r="30" ht="37.5" customHeight="1">
      <c r="A30" s="30"/>
      <c r="B30" s="81" t="s">
        <v>165</v>
      </c>
      <c r="C30" s="24" t="s">
        <v>9</v>
      </c>
      <c r="D30" s="24" t="s">
        <v>16</v>
      </c>
      <c r="E30" s="24" t="s">
        <v>9</v>
      </c>
      <c r="F30" s="82"/>
      <c r="G30" s="82"/>
      <c r="H30" s="34"/>
      <c r="I30" s="25" t="s">
        <v>73</v>
      </c>
      <c r="J30" s="25" t="s">
        <v>77</v>
      </c>
      <c r="K30" s="25" t="s">
        <v>77</v>
      </c>
      <c r="L30" s="25" t="s">
        <v>77</v>
      </c>
      <c r="M30" s="25" t="s">
        <v>77</v>
      </c>
      <c r="N30" s="25" t="s">
        <v>73</v>
      </c>
    </row>
    <row r="31" ht="37.5" customHeight="1">
      <c r="A31" s="80" t="s">
        <v>154</v>
      </c>
      <c r="B31" s="81" t="s">
        <v>59</v>
      </c>
      <c r="C31" s="24" t="s">
        <v>9</v>
      </c>
      <c r="D31" s="24" t="s">
        <v>60</v>
      </c>
      <c r="E31" s="24" t="s">
        <v>8</v>
      </c>
      <c r="F31" s="82"/>
      <c r="G31" s="82"/>
      <c r="H31" s="34"/>
      <c r="I31" s="25" t="s">
        <v>26</v>
      </c>
      <c r="J31" s="25" t="s">
        <v>164</v>
      </c>
      <c r="K31" s="25" t="s">
        <v>26</v>
      </c>
      <c r="L31" s="25" t="s">
        <v>37</v>
      </c>
      <c r="M31" s="25" t="s">
        <v>32</v>
      </c>
      <c r="N31" s="25" t="s">
        <v>56</v>
      </c>
    </row>
    <row r="32" ht="37.5" customHeight="1">
      <c r="A32" s="30"/>
      <c r="B32" s="81" t="s">
        <v>63</v>
      </c>
      <c r="C32" s="24" t="s">
        <v>8</v>
      </c>
      <c r="D32" s="24" t="s">
        <v>60</v>
      </c>
      <c r="E32" s="24" t="s">
        <v>8</v>
      </c>
      <c r="F32" s="82"/>
      <c r="G32" s="82"/>
      <c r="H32" s="34"/>
      <c r="I32" s="25" t="s">
        <v>64</v>
      </c>
      <c r="J32" s="25" t="s">
        <v>64</v>
      </c>
      <c r="K32" s="25" t="s">
        <v>64</v>
      </c>
      <c r="L32" s="25" t="s">
        <v>64</v>
      </c>
      <c r="M32" s="25" t="s">
        <v>64</v>
      </c>
      <c r="N32" s="25" t="s">
        <v>64</v>
      </c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</row>
    <row r="36" ht="30.0" customHeight="1">
      <c r="A36" s="72"/>
      <c r="B36" s="73" t="s">
        <v>127</v>
      </c>
      <c r="C36" s="12"/>
      <c r="D36" s="12"/>
      <c r="E36" s="12"/>
      <c r="F36" s="12"/>
      <c r="G36" s="12"/>
      <c r="H36" s="13"/>
      <c r="I36" s="32"/>
      <c r="J36" s="32"/>
      <c r="K36" s="32"/>
      <c r="L36" s="32"/>
      <c r="M36" s="32"/>
      <c r="N36" s="32"/>
    </row>
    <row r="37" ht="31.5" customHeight="1">
      <c r="A37" s="30"/>
      <c r="B37" s="74" t="s">
        <v>4</v>
      </c>
      <c r="C37" s="74" t="s">
        <v>5</v>
      </c>
      <c r="D37" s="74" t="s">
        <v>129</v>
      </c>
      <c r="E37" s="74" t="s">
        <v>130</v>
      </c>
      <c r="F37" s="74" t="s">
        <v>131</v>
      </c>
      <c r="G37" s="74" t="s">
        <v>132</v>
      </c>
      <c r="H37" s="74" t="s">
        <v>133</v>
      </c>
      <c r="I37" s="32"/>
      <c r="J37" s="32"/>
      <c r="K37" s="32"/>
      <c r="L37" s="32"/>
      <c r="M37" s="32"/>
      <c r="N37" s="32"/>
    </row>
    <row r="38" ht="37.5" customHeight="1">
      <c r="A38" s="75"/>
      <c r="B38" s="88"/>
      <c r="C38" s="88"/>
      <c r="D38" s="88"/>
      <c r="E38" s="88"/>
      <c r="F38" s="88"/>
      <c r="G38" s="88"/>
      <c r="H38" s="88"/>
      <c r="I38" s="32"/>
      <c r="J38" s="32"/>
      <c r="K38" s="32"/>
      <c r="L38" s="32"/>
      <c r="M38" s="32"/>
      <c r="N38" s="32"/>
    </row>
    <row r="39" ht="37.5" customHeight="1">
      <c r="A39" s="28"/>
      <c r="B39" s="88"/>
      <c r="C39" s="88"/>
      <c r="D39" s="88"/>
      <c r="E39" s="88"/>
      <c r="F39" s="88"/>
      <c r="G39" s="88"/>
      <c r="H39" s="88"/>
      <c r="I39" s="32"/>
      <c r="J39" s="32"/>
      <c r="K39" s="32"/>
      <c r="L39" s="32"/>
      <c r="M39" s="32"/>
      <c r="N39" s="32"/>
    </row>
    <row r="40" ht="37.5" customHeight="1">
      <c r="A40" s="30"/>
      <c r="B40" s="88"/>
      <c r="C40" s="88"/>
      <c r="D40" s="88"/>
      <c r="E40" s="88"/>
      <c r="F40" s="88"/>
      <c r="G40" s="88"/>
      <c r="H40" s="88"/>
      <c r="I40" s="32"/>
      <c r="J40" s="32"/>
      <c r="K40" s="32"/>
      <c r="L40" s="32"/>
      <c r="M40" s="32"/>
      <c r="N40" s="32"/>
    </row>
    <row r="41" ht="30.0" customHeight="1">
      <c r="A41" s="33"/>
      <c r="B41" s="11" t="s">
        <v>65</v>
      </c>
      <c r="C41" s="12"/>
      <c r="D41" s="12"/>
      <c r="E41" s="12"/>
      <c r="F41" s="12"/>
      <c r="G41" s="12"/>
      <c r="H41" s="13"/>
      <c r="I41" s="14" t="s">
        <v>2</v>
      </c>
      <c r="J41" s="12"/>
      <c r="K41" s="12"/>
      <c r="L41" s="12"/>
      <c r="M41" s="12"/>
      <c r="N41" s="12"/>
    </row>
    <row r="42" ht="37.5" customHeight="1">
      <c r="A42" s="30"/>
      <c r="B42" s="16" t="s">
        <v>4</v>
      </c>
      <c r="C42" s="16" t="s">
        <v>5</v>
      </c>
      <c r="D42" s="16" t="s">
        <v>129</v>
      </c>
      <c r="E42" s="16" t="s">
        <v>130</v>
      </c>
      <c r="F42" s="16" t="s">
        <v>131</v>
      </c>
      <c r="G42" s="16" t="s">
        <v>137</v>
      </c>
      <c r="H42" s="16" t="s">
        <v>133</v>
      </c>
      <c r="I42" s="16" t="s">
        <v>138</v>
      </c>
      <c r="J42" s="16" t="s">
        <v>139</v>
      </c>
      <c r="K42" s="16" t="s">
        <v>140</v>
      </c>
      <c r="L42" s="16" t="s">
        <v>141</v>
      </c>
      <c r="M42" s="16" t="s">
        <v>142</v>
      </c>
      <c r="N42" s="16" t="s">
        <v>143</v>
      </c>
    </row>
    <row r="43" ht="37.5" customHeight="1">
      <c r="A43" s="80" t="s">
        <v>144</v>
      </c>
      <c r="B43" s="81" t="s">
        <v>166</v>
      </c>
      <c r="C43" s="24" t="s">
        <v>9</v>
      </c>
      <c r="D43" s="24" t="s">
        <v>151</v>
      </c>
      <c r="E43" s="24" t="s">
        <v>9</v>
      </c>
      <c r="F43" s="82"/>
      <c r="G43" s="82"/>
      <c r="H43" s="34"/>
      <c r="I43" s="25" t="s">
        <v>147</v>
      </c>
      <c r="J43" s="25" t="s">
        <v>147</v>
      </c>
      <c r="K43" s="25" t="s">
        <v>167</v>
      </c>
      <c r="L43" s="25" t="s">
        <v>29</v>
      </c>
      <c r="M43" s="25" t="s">
        <v>29</v>
      </c>
      <c r="N43" s="34"/>
    </row>
    <row r="44" ht="37.5" customHeight="1">
      <c r="A44" s="28"/>
      <c r="B44" s="81" t="s">
        <v>168</v>
      </c>
      <c r="C44" s="24" t="s">
        <v>9</v>
      </c>
      <c r="D44" s="24" t="s">
        <v>151</v>
      </c>
      <c r="E44" s="24" t="s">
        <v>9</v>
      </c>
      <c r="F44" s="82"/>
      <c r="G44" s="82"/>
      <c r="H44" s="34"/>
      <c r="I44" s="25" t="s">
        <v>64</v>
      </c>
      <c r="J44" s="25" t="s">
        <v>64</v>
      </c>
      <c r="K44" s="25" t="s">
        <v>64</v>
      </c>
      <c r="L44" s="25" t="s">
        <v>64</v>
      </c>
      <c r="M44" s="25" t="s">
        <v>169</v>
      </c>
      <c r="N44" s="34"/>
    </row>
    <row r="45" ht="37.5" customHeight="1">
      <c r="A45" s="30"/>
      <c r="B45" s="81" t="s">
        <v>170</v>
      </c>
      <c r="C45" s="24" t="s">
        <v>8</v>
      </c>
      <c r="D45" s="24" t="s">
        <v>70</v>
      </c>
      <c r="E45" s="24" t="s">
        <v>9</v>
      </c>
      <c r="F45" s="82"/>
      <c r="G45" s="82"/>
      <c r="H45" s="34"/>
      <c r="I45" s="25" t="s">
        <v>171</v>
      </c>
      <c r="J45" s="25" t="s">
        <v>76</v>
      </c>
      <c r="K45" s="25" t="s">
        <v>172</v>
      </c>
      <c r="L45" s="25" t="s">
        <v>77</v>
      </c>
      <c r="M45" s="25" t="s">
        <v>77</v>
      </c>
      <c r="N45" s="34"/>
    </row>
    <row r="46" ht="37.5" customHeight="1">
      <c r="A46" s="80" t="s">
        <v>154</v>
      </c>
      <c r="B46" s="81" t="s">
        <v>173</v>
      </c>
      <c r="C46" s="24" t="s">
        <v>9</v>
      </c>
      <c r="D46" s="24" t="s">
        <v>151</v>
      </c>
      <c r="E46" s="24" t="s">
        <v>9</v>
      </c>
      <c r="F46" s="82"/>
      <c r="G46" s="82"/>
      <c r="H46" s="34"/>
      <c r="I46" s="25" t="s">
        <v>174</v>
      </c>
      <c r="J46" s="25" t="s">
        <v>175</v>
      </c>
      <c r="K46" s="25" t="s">
        <v>176</v>
      </c>
      <c r="L46" s="25" t="s">
        <v>151</v>
      </c>
      <c r="M46" s="25" t="s">
        <v>177</v>
      </c>
      <c r="N46" s="34"/>
    </row>
    <row r="47" ht="37.5" customHeight="1">
      <c r="A47" s="28"/>
      <c r="B47" s="81" t="s">
        <v>178</v>
      </c>
      <c r="C47" s="24" t="s">
        <v>9</v>
      </c>
      <c r="D47" s="24" t="s">
        <v>60</v>
      </c>
      <c r="E47" s="24" t="s">
        <v>9</v>
      </c>
      <c r="F47" s="82"/>
      <c r="G47" s="82"/>
      <c r="H47" s="34"/>
      <c r="I47" s="25" t="s">
        <v>87</v>
      </c>
      <c r="J47" s="25" t="s">
        <v>87</v>
      </c>
      <c r="K47" s="25" t="s">
        <v>179</v>
      </c>
      <c r="L47" s="25" t="s">
        <v>76</v>
      </c>
      <c r="M47" s="25" t="s">
        <v>77</v>
      </c>
      <c r="N47" s="34"/>
    </row>
    <row r="48" ht="37.5" customHeight="1">
      <c r="A48" s="30"/>
      <c r="B48" s="81" t="s">
        <v>180</v>
      </c>
      <c r="C48" s="24" t="s">
        <v>8</v>
      </c>
      <c r="D48" s="24" t="s">
        <v>92</v>
      </c>
      <c r="E48" s="24" t="s">
        <v>8</v>
      </c>
      <c r="F48" s="82"/>
      <c r="G48" s="82"/>
      <c r="H48" s="34"/>
      <c r="I48" s="25" t="s">
        <v>181</v>
      </c>
      <c r="J48" s="25" t="s">
        <v>182</v>
      </c>
      <c r="K48" s="25" t="s">
        <v>183</v>
      </c>
      <c r="L48" s="25" t="s">
        <v>184</v>
      </c>
      <c r="M48" s="25" t="s">
        <v>185</v>
      </c>
      <c r="N48" s="34"/>
    </row>
    <row r="49" ht="22.5" hidden="1" customHeight="1">
      <c r="A49" s="35"/>
      <c r="B49" s="36" t="s">
        <v>82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</row>
    <row r="50" ht="22.5" hidden="1" customHeight="1">
      <c r="A50" s="35"/>
      <c r="B50" s="36" t="s">
        <v>82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</row>
    <row r="51" ht="15.75" customHeight="1"/>
    <row r="52" ht="37.5" customHeight="1">
      <c r="A52" s="10"/>
      <c r="B52" s="11" t="s">
        <v>83</v>
      </c>
      <c r="C52" s="12"/>
      <c r="D52" s="12"/>
      <c r="E52" s="12"/>
      <c r="F52" s="12"/>
      <c r="G52" s="12"/>
      <c r="H52" s="13"/>
      <c r="I52" s="14" t="s">
        <v>2</v>
      </c>
      <c r="J52" s="12"/>
      <c r="K52" s="12"/>
      <c r="L52" s="12"/>
      <c r="M52" s="12"/>
      <c r="N52" s="12"/>
    </row>
    <row r="53" ht="37.5" customHeight="1">
      <c r="B53" s="16" t="s">
        <v>4</v>
      </c>
      <c r="C53" s="16" t="s">
        <v>5</v>
      </c>
      <c r="D53" s="16" t="s">
        <v>129</v>
      </c>
      <c r="E53" s="16" t="s">
        <v>130</v>
      </c>
      <c r="F53" s="16" t="s">
        <v>131</v>
      </c>
      <c r="G53" s="16" t="s">
        <v>137</v>
      </c>
      <c r="H53" s="16" t="s">
        <v>133</v>
      </c>
      <c r="I53" s="16" t="s">
        <v>138</v>
      </c>
      <c r="J53" s="16" t="s">
        <v>139</v>
      </c>
      <c r="K53" s="16" t="s">
        <v>140</v>
      </c>
      <c r="L53" s="16" t="s">
        <v>141</v>
      </c>
      <c r="M53" s="16" t="s">
        <v>142</v>
      </c>
      <c r="N53" s="16" t="s">
        <v>143</v>
      </c>
    </row>
    <row r="54" ht="37.5" customHeight="1">
      <c r="A54" s="80" t="s">
        <v>144</v>
      </c>
      <c r="B54" s="81" t="s">
        <v>84</v>
      </c>
      <c r="C54" s="24" t="s">
        <v>9</v>
      </c>
      <c r="D54" s="24" t="s">
        <v>151</v>
      </c>
      <c r="E54" s="24" t="s">
        <v>186</v>
      </c>
      <c r="F54" s="82"/>
      <c r="G54" s="82"/>
      <c r="H54" s="34"/>
      <c r="I54" s="25" t="s">
        <v>21</v>
      </c>
      <c r="J54" s="25" t="s">
        <v>187</v>
      </c>
      <c r="K54" s="25" t="s">
        <v>147</v>
      </c>
      <c r="L54" s="25" t="s">
        <v>17</v>
      </c>
      <c r="M54" s="25" t="s">
        <v>17</v>
      </c>
      <c r="N54" s="34"/>
    </row>
    <row r="55" ht="37.5" customHeight="1">
      <c r="A55" s="28"/>
      <c r="B55" s="81" t="s">
        <v>88</v>
      </c>
      <c r="C55" s="24" t="s">
        <v>9</v>
      </c>
      <c r="D55" s="24" t="s">
        <v>16</v>
      </c>
      <c r="E55" s="24" t="s">
        <v>186</v>
      </c>
      <c r="F55" s="82"/>
      <c r="G55" s="82"/>
      <c r="H55" s="34"/>
      <c r="I55" s="25" t="s">
        <v>21</v>
      </c>
      <c r="J55" s="25" t="s">
        <v>26</v>
      </c>
      <c r="K55" s="25" t="s">
        <v>37</v>
      </c>
      <c r="L55" s="25" t="s">
        <v>32</v>
      </c>
      <c r="M55" s="25" t="s">
        <v>52</v>
      </c>
      <c r="N55" s="34"/>
    </row>
    <row r="56" ht="37.5" customHeight="1">
      <c r="A56" s="30"/>
      <c r="B56" s="81" t="s">
        <v>91</v>
      </c>
      <c r="C56" s="24" t="s">
        <v>9</v>
      </c>
      <c r="D56" s="24" t="s">
        <v>151</v>
      </c>
      <c r="E56" s="24" t="s">
        <v>9</v>
      </c>
      <c r="F56" s="82"/>
      <c r="G56" s="82"/>
      <c r="H56" s="34"/>
      <c r="I56" s="25" t="s">
        <v>21</v>
      </c>
      <c r="J56" s="25" t="s">
        <v>148</v>
      </c>
      <c r="K56" s="25" t="s">
        <v>58</v>
      </c>
      <c r="L56" s="25" t="s">
        <v>26</v>
      </c>
      <c r="M56" s="25" t="s">
        <v>35</v>
      </c>
      <c r="N56" s="34"/>
    </row>
    <row r="57" ht="37.5" customHeight="1">
      <c r="A57" s="89"/>
      <c r="B57" s="27" t="s">
        <v>188</v>
      </c>
      <c r="C57" s="24" t="s">
        <v>9</v>
      </c>
      <c r="D57" s="24" t="s">
        <v>92</v>
      </c>
      <c r="E57" s="24" t="s">
        <v>8</v>
      </c>
      <c r="F57" s="82"/>
      <c r="G57" s="82"/>
      <c r="H57" s="34"/>
      <c r="I57" s="25" t="s">
        <v>21</v>
      </c>
      <c r="J57" s="25" t="s">
        <v>189</v>
      </c>
      <c r="K57" s="25" t="s">
        <v>164</v>
      </c>
      <c r="L57" s="25" t="s">
        <v>190</v>
      </c>
      <c r="M57" s="25" t="s">
        <v>32</v>
      </c>
      <c r="N57" s="34"/>
    </row>
    <row r="58" ht="37.5" customHeight="1">
      <c r="A58" s="89"/>
      <c r="B58" s="27" t="s">
        <v>191</v>
      </c>
      <c r="C58" s="24" t="s">
        <v>9</v>
      </c>
      <c r="D58" s="24" t="s">
        <v>151</v>
      </c>
      <c r="E58" s="24" t="s">
        <v>8</v>
      </c>
      <c r="F58" s="82"/>
      <c r="G58" s="82"/>
      <c r="H58" s="34"/>
      <c r="I58" s="25" t="s">
        <v>21</v>
      </c>
      <c r="J58" s="25" t="s">
        <v>21</v>
      </c>
      <c r="K58" s="25" t="s">
        <v>192</v>
      </c>
      <c r="L58" s="25" t="s">
        <v>192</v>
      </c>
      <c r="M58" s="25" t="s">
        <v>193</v>
      </c>
      <c r="N58" s="3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44">
    <mergeCell ref="B10:H10"/>
    <mergeCell ref="I10:N10"/>
    <mergeCell ref="B2:F2"/>
    <mergeCell ref="H2:H4"/>
    <mergeCell ref="A5:A6"/>
    <mergeCell ref="B5:H5"/>
    <mergeCell ref="I5:N9"/>
    <mergeCell ref="A7:A9"/>
    <mergeCell ref="A10:A11"/>
    <mergeCell ref="G17:G18"/>
    <mergeCell ref="H17:H18"/>
    <mergeCell ref="I17:I18"/>
    <mergeCell ref="J17:J18"/>
    <mergeCell ref="K17:K18"/>
    <mergeCell ref="L17:L18"/>
    <mergeCell ref="M17:M18"/>
    <mergeCell ref="N17:N18"/>
    <mergeCell ref="A12:A16"/>
    <mergeCell ref="A17:A18"/>
    <mergeCell ref="B17:B18"/>
    <mergeCell ref="C17:C18"/>
    <mergeCell ref="D17:D18"/>
    <mergeCell ref="E17:E18"/>
    <mergeCell ref="F17:F18"/>
    <mergeCell ref="A21:A22"/>
    <mergeCell ref="B21:H21"/>
    <mergeCell ref="A23:A25"/>
    <mergeCell ref="A26:A27"/>
    <mergeCell ref="B26:H26"/>
    <mergeCell ref="I26:N26"/>
    <mergeCell ref="A28:A30"/>
    <mergeCell ref="A43:A45"/>
    <mergeCell ref="A46:A48"/>
    <mergeCell ref="A52:A53"/>
    <mergeCell ref="B52:H52"/>
    <mergeCell ref="I52:N52"/>
    <mergeCell ref="A54:A56"/>
    <mergeCell ref="A31:A32"/>
    <mergeCell ref="A36:A37"/>
    <mergeCell ref="B36:H36"/>
    <mergeCell ref="A38:A40"/>
    <mergeCell ref="A41:A42"/>
    <mergeCell ref="B41:H41"/>
    <mergeCell ref="I41:N4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